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V:\02-OficEstad\Educacion\PyE\Cifras2018-19\Revision\Web (excel para subir a la web del ministerio)\"/>
    </mc:Choice>
  </mc:AlternateContent>
  <bookViews>
    <workbookView xWindow="0" yWindow="0" windowWidth="14835" windowHeight="4200" tabRatio="850"/>
  </bookViews>
  <sheets>
    <sheet name="Índice" sheetId="51" r:id="rId1"/>
    <sheet name="B4.1a" sheetId="68" r:id="rId2"/>
    <sheet name="B4.1b" sheetId="69" r:id="rId3"/>
    <sheet name="B4.2" sheetId="70" r:id="rId4"/>
    <sheet name="B4.3" sheetId="18" r:id="rId5"/>
    <sheet name="B4.4" sheetId="28" r:id="rId6"/>
    <sheet name="B4.5" sheetId="71" r:id="rId7"/>
    <sheet name="Datos Gráficos" sheetId="29" state="hidden" r:id="rId8"/>
    <sheet name="B4.6" sheetId="6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C7" localSheetId="0">#REF!</definedName>
    <definedName name="_C7">#REF!</definedName>
    <definedName name="_TAB1">#REF!</definedName>
    <definedName name="A">#N/A</definedName>
    <definedName name="A_impresión_IM" localSheetId="0">#REF!</definedName>
    <definedName name="A_impresión_IM">#REF!</definedName>
    <definedName name="aa">#REF!</definedName>
    <definedName name="AEA" localSheetId="0">[1]AE93!#REF!</definedName>
    <definedName name="AEA">[1]AE93!#REF!</definedName>
    <definedName name="AEACT" localSheetId="0">[1]AE95!#REF!</definedName>
    <definedName name="AEACT">[1]AE95!#REF!</definedName>
    <definedName name="AEB" localSheetId="0">[1]AE93!#REF!</definedName>
    <definedName name="AEB">[1]AE93!#REF!</definedName>
    <definedName name="Australia_5B">[2]GRAD!$E$32:$G$32</definedName>
    <definedName name="Austria_5B">[2]GRAD!$E$33:$G$33</definedName>
    <definedName name="B">#N/A</definedName>
    <definedName name="B7_STRatio">#REF!</definedName>
    <definedName name="Belgium_5B">[2]GRAD!$E$34:$G$34</definedName>
    <definedName name="body">#REF!</definedName>
    <definedName name="C_">#N/A</definedName>
    <definedName name="C1.1a">#REF!</definedName>
    <definedName name="CAA" localSheetId="0">[1]AE92!#REF!</definedName>
    <definedName name="CAA">[1]AE92!#REF!</definedName>
    <definedName name="CAB" localSheetId="0">[1]AE92!#REF!</definedName>
    <definedName name="CAB">[1]AE92!#REF!</definedName>
    <definedName name="calcul">'[3]Calcul_B1.1'!$A$1:$L$37</definedName>
    <definedName name="CLA" localSheetId="0">#REF!</definedName>
    <definedName name="CLA">#REF!</definedName>
    <definedName name="CLB" localSheetId="0">#REF!</definedName>
    <definedName name="CLB">#REF!</definedName>
    <definedName name="countries">#REF!</definedName>
    <definedName name="Czech_Republic_5B">[2]GRAD!$E$35:$G$35</definedName>
    <definedName name="Denmark_5B">[2]GRAD!$E$37:$G$37</definedName>
    <definedName name="esped" localSheetId="0">#REF!</definedName>
    <definedName name="esped">#REF!</definedName>
    <definedName name="Finland_5B">[2]GRAD!$E$36:$G$36</definedName>
    <definedName name="France_5B">[2]GRAD!$E$38:$G$38</definedName>
    <definedName name="FTAMAN">#N/A</definedName>
    <definedName name="G1_" localSheetId="0">#REF!</definedName>
    <definedName name="G1_">#REF!</definedName>
    <definedName name="Germany_5B">[2]GRAD!$E$39:$G$39</definedName>
    <definedName name="GSOCIAL" localSheetId="0">#REF!</definedName>
    <definedName name="GSOCIAL">#REF!</definedName>
    <definedName name="Hungary_5B">[2]GRAD!$E$41:$G$41</definedName>
    <definedName name="Iceland_5B">[2]GRAD!$E$42:$G$42</definedName>
    <definedName name="INDP32">[4]P32!$A$1:$AZ$21</definedName>
    <definedName name="INDP32_905070">[5]P32_57!$A$1:$AZ$21</definedName>
    <definedName name="Ireland_5B">[2]GRAD!$E$43:$G$43</definedName>
    <definedName name="Italy_5B">[2]GRAD!$E$45:$G$45</definedName>
    <definedName name="Japan_5B">[2]GRAD!$E$46:$G$46</definedName>
    <definedName name="Korea_5B">[2]GRAD!$E$47:$G$47</definedName>
    <definedName name="M7_" localSheetId="0">#REF!</definedName>
    <definedName name="M7_">#REF!</definedName>
    <definedName name="Men">[2]GRAD!$F$2:$F$61</definedName>
    <definedName name="Mercedes" localSheetId="0">#REF!</definedName>
    <definedName name="Mercedes">[6]Centros!$A$71:$K$103</definedName>
    <definedName name="Mexico_5B">[2]GRAD!$E$49:$G$49</definedName>
    <definedName name="Netherlands_5B">[2]GRAD!$E$50:$G$50</definedName>
    <definedName name="New_Zealand_5B">[2]GRAD!$E$51:$G$51</definedName>
    <definedName name="Norway_5B">[2]GRAD!$E$52:$G$52</definedName>
    <definedName name="p5_age">[7]p5_ageISC5a!$A$1:$D$55</definedName>
    <definedName name="p5nr">[8]P5nr_2!$A$1:$AC$43</definedName>
    <definedName name="Poland_5B">[2]GRAD!$E$53:$G$53</definedName>
    <definedName name="POpula">[9]POpula!$A$1:$I$1559</definedName>
    <definedName name="Portugal_5B">[2]GRAD!$E$54:$G$54</definedName>
    <definedName name="Slovakia_5B">[2]GRAD!$E$55:$G$55</definedName>
    <definedName name="Spain_5B">[2]GRAD!$E$56:$G$56</definedName>
    <definedName name="SPSS">[10]Figure5.6!$B$2:$X$30</definedName>
    <definedName name="Sweden_5B">[2]GRAD!$E$57:$G$57</definedName>
    <definedName name="Switzerland_5B">[2]GRAD!$E$58:$G$58</definedName>
    <definedName name="T4_" localSheetId="0">#REF!</definedName>
    <definedName name="T4_">#REF!</definedName>
    <definedName name="T7_" localSheetId="0">#REF!</definedName>
    <definedName name="T7_">#REF!</definedName>
    <definedName name="TC" localSheetId="0">#REF!</definedName>
    <definedName name="TC">#REF!</definedName>
    <definedName name="TM" localSheetId="0">#REF!</definedName>
    <definedName name="TM">#REF!</definedName>
    <definedName name="toto">[11]Data5.11a!$B$3:$C$34</definedName>
    <definedName name="TSC" localSheetId="0">#REF!</definedName>
    <definedName name="TSC">#REF!</definedName>
    <definedName name="Turkey_5B">[2]GRAD!$E$59:$G$59</definedName>
    <definedName name="U">#N/A</definedName>
    <definedName name="United_Kingdom_5B">[2]GRAD!$E$60:$G$60</definedName>
    <definedName name="United_States_5B">[2]GRAD!$E$61:$G$61</definedName>
    <definedName name="weight">[12]F5_W!$A$1:$C$33</definedName>
    <definedName name="Women">[2]GRAD!$G$2:$G$61</definedName>
    <definedName name="XYZ" localSheetId="0">#REF!</definedName>
    <definedName name="XYZ">[6]Centros!$A$1:$J$175</definedName>
    <definedName name="YO" localSheetId="0">#REF!</definedName>
    <definedName name="YO">[6]Centros!$A$71:$K$103</definedName>
  </definedNames>
  <calcPr calcId="162913"/>
</workbook>
</file>

<file path=xl/calcChain.xml><?xml version="1.0" encoding="utf-8"?>
<calcChain xmlns="http://schemas.openxmlformats.org/spreadsheetml/2006/main">
  <c r="T20" i="68" l="1"/>
</calcChain>
</file>

<file path=xl/comments1.xml><?xml version="1.0" encoding="utf-8"?>
<comments xmlns="http://schemas.openxmlformats.org/spreadsheetml/2006/main">
  <authors>
    <author xml:space="preserve"> </author>
  </authors>
  <commentList>
    <comment ref="A22" authorId="0" shapeId="0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<sst xmlns="http://schemas.openxmlformats.org/spreadsheetml/2006/main" count="372" uniqueCount="145">
  <si>
    <t>TOTAL</t>
  </si>
  <si>
    <t>ADMINISTRACIÓN GENERAL DEL ESTADO</t>
  </si>
  <si>
    <t>ADMINISTRACIÓN LOCAL</t>
  </si>
  <si>
    <t>GASTO NO DISTRIBUIDO POR ADMINISTRACIÓN</t>
  </si>
  <si>
    <t>PARTIDAS DE AJUSTE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</si>
  <si>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</si>
  <si>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</si>
  <si>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</si>
  <si>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</si>
  <si>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</si>
  <si>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</si>
  <si>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</si>
  <si>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</si>
  <si>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País Vasco</t>
  </si>
  <si>
    <t>Educación no universitaria</t>
  </si>
  <si>
    <t>Formación ocupacional</t>
  </si>
  <si>
    <t>Becas y ayudas totales</t>
  </si>
  <si>
    <t>Gastos de capital y activos y pasivos financieros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</si>
  <si>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</si>
  <si>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</si>
  <si>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</si>
  <si>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</si>
  <si>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</si>
  <si>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</si>
  <si>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</si>
  <si>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</si>
  <si>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</si>
  <si>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</si>
  <si>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</si>
  <si>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</si>
  <si>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</si>
  <si>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</si>
  <si>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</si>
  <si>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</si>
  <si>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</si>
  <si>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</si>
  <si>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</si>
  <si>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</si>
  <si>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</si>
  <si>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</si>
  <si>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</si>
  <si>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</si>
  <si>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</si>
  <si>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</si>
  <si>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</si>
  <si>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</si>
  <si>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</si>
  <si>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(2) Incluye otros Ministerios y Consejerías y Corporaciones Locales.</t>
  </si>
  <si>
    <t>Administraciones no Educativas (2)</t>
  </si>
  <si>
    <t>Miles de euros</t>
  </si>
  <si>
    <t>ADMINISTRACIÓN AUTONÓMICA</t>
  </si>
  <si>
    <t>Millones de euros</t>
  </si>
  <si>
    <t>Comunitat Valenciana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</si>
  <si>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</si>
  <si>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</si>
  <si>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</si>
  <si>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</si>
  <si>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</si>
  <si>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</si>
  <si>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</si>
  <si>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</si>
  <si>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</si>
  <si>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</si>
  <si>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</si>
  <si>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</si>
  <si>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</si>
  <si>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</si>
  <si>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</si>
  <si>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</si>
  <si>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</si>
  <si>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</si>
  <si>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</si>
  <si>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</si>
  <si>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</si>
  <si>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</si>
  <si>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B4.6</t>
  </si>
  <si>
    <t>Fuentes de información:</t>
  </si>
  <si>
    <t>Contenido, notas explicativas y gráficos (ver formato pdf)</t>
  </si>
  <si>
    <t xml:space="preserve">Gastos de capital 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</si>
  <si>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</si>
  <si>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</si>
  <si>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</si>
  <si>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</si>
  <si>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</si>
  <si>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</si>
  <si>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</si>
  <si>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</si>
  <si>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</si>
  <si>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</si>
  <si>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</si>
  <si>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Participación de las Administraciones públicas en el gasto público en educación, por actividad educativa</t>
  </si>
  <si>
    <t>Gasto público por alumno en enseñanza no universitaria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</si>
  <si>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</si>
  <si>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</si>
  <si>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</si>
  <si>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Extre-madura</t>
  </si>
  <si>
    <t>Ministerio de Educación sin deducir transf.</t>
  </si>
  <si>
    <t>Ministerio de Educación</t>
  </si>
  <si>
    <t xml:space="preserve">   Ministerio de Educación sin deducir transf. a CC.AA.</t>
  </si>
  <si>
    <t xml:space="preserve">   Ministerio de Educación</t>
  </si>
  <si>
    <t>TOTAL (miles de euros)</t>
  </si>
  <si>
    <t xml:space="preserve">B4.6. Gasto público por alumno en enseñanza no universitaria (1). </t>
  </si>
  <si>
    <t xml:space="preserve">(1) Gasto público por alumno en enseñanzas no universitarias del sistema educativo, por tanto excluida la formación ocupacional. El alumnado se ha  </t>
  </si>
  <si>
    <t xml:space="preserve">     transformado en equivalente a tiempo completo, de acuerdo a la metodología utilizada en la estadística internacional. </t>
  </si>
  <si>
    <t>Administra-ciones no Educativas (2)</t>
  </si>
  <si>
    <t>TOTAL NACIONAL</t>
  </si>
  <si>
    <t>Partidas de ajuste</t>
  </si>
  <si>
    <t>Ministerio de Ed. sin deducir transf.</t>
  </si>
  <si>
    <t>Adminis-traciones no Educa-tivas (2)</t>
  </si>
  <si>
    <t>(1) Se refiere a las transferencias del  Ministerio de Educación y de  las Consejerías/Departamentos de Educación de las CC.AA. a las Entidades Locales.</t>
  </si>
  <si>
    <t>TOTAL
(miles de EUROS)</t>
  </si>
  <si>
    <t>Gastos de capital</t>
  </si>
  <si>
    <t>Activos y pasivos finan-cieros</t>
  </si>
  <si>
    <t>Conciertos y subv. a la ens. Privada</t>
  </si>
  <si>
    <t>Conciertos y Subven-ciones a la enseñanza privada</t>
  </si>
  <si>
    <t>TOTAL DE GASTO EN EDUCACIÓN</t>
  </si>
  <si>
    <t>GASTO EN EDUCACIÓN NO UNIVERSITARIA</t>
  </si>
  <si>
    <t>GASTO EN EDUCACIÓN UNIVERSITARIA</t>
  </si>
  <si>
    <t>B4.5</t>
  </si>
  <si>
    <t>Equipamiento</t>
  </si>
  <si>
    <t>- Contabilidad Nacional. INE. (Datos del gasto privado de las familias en educación y P.I.B.) (tabla B4.2)</t>
  </si>
  <si>
    <t>(p) Estimación provisional.</t>
  </si>
  <si>
    <t>2018 (p)</t>
  </si>
  <si>
    <t>B4.2. Evolución del gasto de los hogares en educación (2009 a 2018)</t>
  </si>
  <si>
    <t>B4.1a. Evolución del gasto público en educación, incluidos capítulos financieros (2009 a 2018)</t>
  </si>
  <si>
    <t>B4.1b. Evolución del gasto público en educación, excluidos capítulos financieros (2009 a 2018)</t>
  </si>
  <si>
    <t>B4.3. Participación de las Administraciones públicas en el gasto público en educación, por actividad educativa. Año 2018</t>
  </si>
  <si>
    <t>B4.4. Distribución porcentual del gasto público en educación por actividad educativa. Año 2018</t>
  </si>
  <si>
    <t>B4.5. Distribución porcentual del gasto de las Administraciones Públicas en educación por naturaleza económica. Año 2018</t>
  </si>
  <si>
    <t>Las cifras de la educación en España. Estadísticas e indicadores. Edición 2021</t>
  </si>
  <si>
    <t>B4. El gasto en educación. Año 2018</t>
  </si>
  <si>
    <t>Evolución del gasto público en educación, incluidos capítulos financieros (2009 a 2018)</t>
  </si>
  <si>
    <t>Evolución del gasto público en educación, excluidos capítulos financieros  (2009 a 2018)</t>
  </si>
  <si>
    <t>Evolución del gasto de los hogares en educación (2009 a 2018)</t>
  </si>
  <si>
    <t>Distribución porcentual del gasto de las Administraciones Públicas en educación por naturaleza económica</t>
  </si>
  <si>
    <t>-  Estadística del Gasto Público en Educación. Presupuesto liquidado. S.G. de Estadística y Estudios del Ministerio de Educación y Formación Profesional</t>
  </si>
  <si>
    <t>Asturias, Principado de</t>
  </si>
  <si>
    <t>Balears, Illes</t>
  </si>
  <si>
    <t>Madrid, Com. de</t>
  </si>
  <si>
    <t>Murcia, Región de</t>
  </si>
  <si>
    <t>Navarra, Com. Foral de</t>
  </si>
  <si>
    <t>Rioja, La</t>
  </si>
  <si>
    <t>Madrid, Comunidad de</t>
  </si>
  <si>
    <t>Navarra, Comunidad Foral de</t>
  </si>
  <si>
    <t>Ministerio de Educación  antes de transf.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</si>
</sst>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43" formatCode="_-* #,##0.00_-;\-* #,##0.00_-;_-* &quot;-&quot;??_-;_-@_-"/>
    <numFmt numFmtId="164" formatCode="_-* #,##0\ _P_t_s_-;\-* #,##0\ _P_t_s_-;_-* &quot;-&quot;\ _P_t_s_-;_-@_-"/>
    <numFmt numFmtId="165" formatCode="#,##0.0"/>
    <numFmt numFmtId="166" formatCode="General_)"/>
    <numFmt numFmtId="167" formatCode="0.0"/>
    <numFmt numFmtId="168" formatCode="#,##0_M_M"/>
    <numFmt numFmtId="169" formatCode="#,##0.0_M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0.0_J"/>
    <numFmt numFmtId="173" formatCode="#,##0.0_I"/>
    <numFmt numFmtId="174" formatCode="_(* #,##0.00_);_(* \(#,##0.00\);_(* &quot;-&quot;??_);_(@_)"/>
    <numFmt numFmtId="175" formatCode="0.0%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</font>
    <font>
      <b/>
      <sz val="7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5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1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4" fillId="3" borderId="0" applyNumberFormat="0" applyBorder="0" applyAlignment="0" applyProtection="0"/>
    <xf numFmtId="0" fontId="3" fillId="20" borderId="1"/>
    <xf numFmtId="0" fontId="35" fillId="21" borderId="2" applyNumberFormat="0" applyAlignment="0" applyProtection="0"/>
    <xf numFmtId="0" fontId="3" fillId="0" borderId="5"/>
    <xf numFmtId="0" fontId="36" fillId="22" borderId="3" applyNumberFormat="0" applyAlignment="0" applyProtection="0"/>
    <xf numFmtId="0" fontId="12" fillId="23" borderId="6">
      <alignment horizontal="left" vertical="top" wrapText="1"/>
    </xf>
    <xf numFmtId="0" fontId="13" fillId="24" borderId="0">
      <alignment horizontal="center"/>
    </xf>
    <xf numFmtId="0" fontId="14" fillId="24" borderId="0">
      <alignment horizontal="center" vertical="center"/>
    </xf>
    <xf numFmtId="0" fontId="8" fillId="25" borderId="0">
      <alignment horizontal="center" wrapText="1"/>
    </xf>
    <xf numFmtId="0" fontId="15" fillId="24" borderId="0">
      <alignment horizontal="center"/>
    </xf>
    <xf numFmtId="41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9" fillId="26" borderId="1" applyBorder="0">
      <protection locked="0"/>
    </xf>
    <xf numFmtId="0" fontId="16" fillId="0" borderId="0">
      <alignment horizontal="centerContinuous"/>
    </xf>
    <xf numFmtId="0" fontId="16" fillId="0" borderId="0" applyAlignment="0">
      <alignment horizontal="centerContinuous"/>
    </xf>
    <xf numFmtId="0" fontId="17" fillId="0" borderId="0" applyAlignment="0">
      <alignment horizontal="centerContinuous"/>
    </xf>
    <xf numFmtId="0" fontId="37" fillId="0" borderId="0" applyNumberFormat="0" applyFill="0" applyBorder="0" applyAlignment="0" applyProtection="0"/>
    <xf numFmtId="0" fontId="18" fillId="24" borderId="5">
      <alignment horizontal="left"/>
    </xf>
    <xf numFmtId="0" fontId="10" fillId="24" borderId="0">
      <alignment horizontal="left"/>
    </xf>
    <xf numFmtId="0" fontId="38" fillId="4" borderId="0" applyNumberFormat="0" applyBorder="0" applyAlignment="0" applyProtection="0"/>
    <xf numFmtId="0" fontId="19" fillId="27" borderId="0">
      <alignment horizontal="left" vertical="top"/>
    </xf>
    <xf numFmtId="0" fontId="20" fillId="28" borderId="0">
      <alignment horizontal="right" vertical="top" textRotation="90" wrapText="1"/>
    </xf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1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2" fillId="7" borderId="2" applyNumberFormat="0" applyAlignment="0" applyProtection="0"/>
    <xf numFmtId="0" fontId="24" fillId="25" borderId="0">
      <alignment horizontal="center"/>
    </xf>
    <xf numFmtId="0" fontId="8" fillId="24" borderId="5">
      <alignment horizontal="centerContinuous" wrapText="1"/>
    </xf>
    <xf numFmtId="0" fontId="21" fillId="27" borderId="0">
      <alignment horizontal="center" wrapText="1"/>
    </xf>
    <xf numFmtId="0" fontId="3" fillId="24" borderId="10">
      <alignment wrapText="1"/>
    </xf>
    <xf numFmtId="0" fontId="3" fillId="24" borderId="11"/>
    <xf numFmtId="0" fontId="3" fillId="24" borderId="12"/>
    <xf numFmtId="0" fontId="3" fillId="24" borderId="13">
      <alignment horizontal="center" wrapText="1"/>
    </xf>
    <xf numFmtId="0" fontId="12" fillId="23" borderId="14">
      <alignment horizontal="left" vertical="top" wrapText="1"/>
    </xf>
    <xf numFmtId="0" fontId="43" fillId="0" borderId="4" applyNumberFormat="0" applyFill="0" applyAlignment="0" applyProtection="0"/>
    <xf numFmtId="0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" fillId="0" borderId="0"/>
    <xf numFmtId="0" fontId="51" fillId="0" borderId="0"/>
    <xf numFmtId="0" fontId="50" fillId="0" borderId="0"/>
    <xf numFmtId="0" fontId="51" fillId="0" borderId="0"/>
    <xf numFmtId="0" fontId="3" fillId="0" borderId="0"/>
    <xf numFmtId="0" fontId="52" fillId="0" borderId="0"/>
    <xf numFmtId="0" fontId="2" fillId="0" borderId="0"/>
    <xf numFmtId="166" fontId="4" fillId="0" borderId="0"/>
    <xf numFmtId="166" fontId="4" fillId="0" borderId="0"/>
    <xf numFmtId="0" fontId="2" fillId="0" borderId="0"/>
    <xf numFmtId="166" fontId="4" fillId="0" borderId="0"/>
    <xf numFmtId="0" fontId="2" fillId="0" borderId="0"/>
    <xf numFmtId="0" fontId="8" fillId="0" borderId="0"/>
    <xf numFmtId="0" fontId="2" fillId="0" borderId="0"/>
    <xf numFmtId="0" fontId="44" fillId="29" borderId="15" applyNumberFormat="0" applyFont="0" applyAlignment="0" applyProtection="0"/>
    <xf numFmtId="0" fontId="45" fillId="21" borderId="16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Protection="0"/>
    <xf numFmtId="9" fontId="8" fillId="0" borderId="0" applyNumberFormat="0" applyFont="0" applyFill="0" applyBorder="0" applyAlignment="0" applyProtection="0"/>
    <xf numFmtId="0" fontId="3" fillId="24" borderId="5"/>
    <xf numFmtId="0" fontId="14" fillId="24" borderId="0">
      <alignment horizontal="right"/>
    </xf>
    <xf numFmtId="0" fontId="22" fillId="27" borderId="0">
      <alignment horizontal="center"/>
    </xf>
    <xf numFmtId="0" fontId="12" fillId="28" borderId="5">
      <alignment horizontal="left" vertical="top" wrapText="1"/>
    </xf>
    <xf numFmtId="0" fontId="12" fillId="28" borderId="17">
      <alignment horizontal="left" vertical="top" wrapText="1"/>
    </xf>
    <xf numFmtId="0" fontId="12" fillId="28" borderId="18">
      <alignment horizontal="left" vertical="top"/>
    </xf>
    <xf numFmtId="37" fontId="46" fillId="0" borderId="0"/>
    <xf numFmtId="0" fontId="19" fillId="30" borderId="0">
      <alignment horizontal="left"/>
    </xf>
    <xf numFmtId="0" fontId="21" fillId="30" borderId="0">
      <alignment horizontal="left" wrapText="1"/>
    </xf>
    <xf numFmtId="0" fontId="19" fillId="30" borderId="0">
      <alignment horizontal="left"/>
    </xf>
    <xf numFmtId="0" fontId="47" fillId="0" borderId="19"/>
    <xf numFmtId="0" fontId="48" fillId="0" borderId="0"/>
    <xf numFmtId="0" fontId="13" fillId="24" borderId="0">
      <alignment horizontal="center"/>
    </xf>
    <xf numFmtId="0" fontId="32" fillId="0" borderId="0" applyNumberFormat="0" applyFill="0" applyBorder="0" applyAlignment="0" applyProtection="0"/>
    <xf numFmtId="0" fontId="5" fillId="24" borderId="0"/>
    <xf numFmtId="0" fontId="19" fillId="30" borderId="0">
      <alignment horizontal="left"/>
    </xf>
    <xf numFmtId="0" fontId="49" fillId="0" borderId="0" applyNumberFormat="0" applyFill="0" applyBorder="0" applyAlignment="0" applyProtection="0"/>
    <xf numFmtId="0" fontId="59" fillId="0" borderId="0"/>
    <xf numFmtId="0" fontId="2" fillId="0" borderId="0"/>
    <xf numFmtId="0" fontId="2" fillId="25" borderId="0">
      <alignment horizontal="center" wrapText="1"/>
    </xf>
    <xf numFmtId="174" fontId="2" fillId="0" borderId="0" applyFont="0" applyFill="0" applyBorder="0" applyAlignment="0" applyProtection="0"/>
    <xf numFmtId="0" fontId="2" fillId="24" borderId="5">
      <alignment horizontal="centerContinuous" wrapText="1"/>
    </xf>
    <xf numFmtId="0" fontId="2" fillId="0" borderId="0"/>
    <xf numFmtId="0" fontId="3" fillId="0" borderId="0"/>
    <xf numFmtId="0" fontId="1" fillId="0" borderId="0"/>
    <xf numFmtId="9" fontId="2" fillId="0" borderId="0" applyFont="0" applyFill="0" applyBorder="0" applyAlignment="0" applyProtection="0"/>
  </cellStyleXfs>
  <cellXfs count="215">
    <xf numFmtId="0" fontId="0" fillId="0" borderId="0" xfId="0"/>
    <xf numFmtId="165" fontId="3" fillId="0" borderId="0" xfId="78" applyNumberFormat="1" applyFont="1" applyFill="1"/>
    <xf numFmtId="0" fontId="3" fillId="0" borderId="0" xfId="0" applyFont="1" applyFill="1"/>
    <xf numFmtId="165" fontId="6" fillId="0" borderId="0" xfId="78" applyNumberFormat="1" applyFont="1" applyFill="1" applyBorder="1" applyAlignment="1">
      <alignment horizontal="left"/>
    </xf>
    <xf numFmtId="165" fontId="7" fillId="0" borderId="0" xfId="78" applyNumberFormat="1" applyFont="1" applyFill="1" applyBorder="1"/>
    <xf numFmtId="165" fontId="7" fillId="0" borderId="0" xfId="78" applyNumberFormat="1" applyFont="1" applyFill="1" applyBorder="1" applyAlignment="1">
      <alignment horizontal="left"/>
    </xf>
    <xf numFmtId="0" fontId="3" fillId="0" borderId="20" xfId="0" applyFont="1" applyFill="1" applyBorder="1"/>
    <xf numFmtId="165" fontId="6" fillId="0" borderId="21" xfId="74" applyNumberFormat="1" applyFont="1" applyFill="1" applyBorder="1" applyAlignment="1" applyProtection="1">
      <alignment horizontal="left" vertical="center"/>
    </xf>
    <xf numFmtId="165" fontId="7" fillId="0" borderId="0" xfId="77" applyNumberFormat="1" applyFont="1" applyFill="1"/>
    <xf numFmtId="0" fontId="7" fillId="0" borderId="0" xfId="0" applyFont="1" applyFill="1"/>
    <xf numFmtId="165" fontId="7" fillId="0" borderId="0" xfId="75" applyNumberFormat="1" applyFont="1" applyFill="1"/>
    <xf numFmtId="165" fontId="6" fillId="0" borderId="0" xfId="74" applyNumberFormat="1" applyFont="1" applyFill="1"/>
    <xf numFmtId="165" fontId="7" fillId="0" borderId="0" xfId="75" applyNumberFormat="1" applyFont="1" applyFill="1" applyAlignment="1" applyProtection="1">
      <alignment horizontal="left"/>
    </xf>
    <xf numFmtId="165" fontId="7" fillId="0" borderId="0" xfId="74" applyNumberFormat="1" applyFont="1" applyFill="1" applyAlignment="1">
      <alignment horizontal="left"/>
    </xf>
    <xf numFmtId="165" fontId="7" fillId="0" borderId="0" xfId="74" applyNumberFormat="1" applyFont="1" applyFill="1"/>
    <xf numFmtId="165" fontId="6" fillId="0" borderId="0" xfId="75" applyNumberFormat="1" applyFont="1" applyFill="1"/>
    <xf numFmtId="165" fontId="7" fillId="0" borderId="0" xfId="0" applyNumberFormat="1" applyFont="1" applyFill="1"/>
    <xf numFmtId="0" fontId="7" fillId="0" borderId="20" xfId="0" applyFont="1" applyFill="1" applyBorder="1"/>
    <xf numFmtId="0" fontId="7" fillId="0" borderId="0" xfId="0" quotePrefix="1" applyFont="1" applyFill="1"/>
    <xf numFmtId="3" fontId="7" fillId="0" borderId="0" xfId="0" applyNumberFormat="1" applyFont="1" applyFill="1" applyAlignment="1">
      <alignment horizontal="left"/>
    </xf>
    <xf numFmtId="0" fontId="3" fillId="0" borderId="0" xfId="0" applyFont="1"/>
    <xf numFmtId="167" fontId="3" fillId="0" borderId="0" xfId="0" applyNumberFormat="1" applyFont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80" applyFont="1" applyFill="1"/>
    <xf numFmtId="0" fontId="7" fillId="0" borderId="0" xfId="0" applyFont="1"/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165" fontId="6" fillId="0" borderId="21" xfId="74" applyNumberFormat="1" applyFont="1" applyFill="1" applyBorder="1" applyAlignment="1" applyProtection="1">
      <alignment vertical="center"/>
    </xf>
    <xf numFmtId="0" fontId="6" fillId="0" borderId="22" xfId="0" applyFont="1" applyBorder="1" applyAlignment="1">
      <alignment wrapText="1"/>
    </xf>
    <xf numFmtId="165" fontId="25" fillId="0" borderId="20" xfId="77" applyNumberFormat="1" applyFont="1" applyFill="1" applyBorder="1"/>
    <xf numFmtId="0" fontId="26" fillId="0" borderId="0" xfId="0" applyFont="1" applyFill="1"/>
    <xf numFmtId="0" fontId="3" fillId="0" borderId="0" xfId="73" applyFont="1" applyFill="1"/>
    <xf numFmtId="165" fontId="3" fillId="0" borderId="20" xfId="73" applyNumberFormat="1" applyFont="1" applyFill="1" applyBorder="1"/>
    <xf numFmtId="0" fontId="7" fillId="0" borderId="0" xfId="0" applyFont="1" applyFill="1" applyBorder="1"/>
    <xf numFmtId="0" fontId="26" fillId="0" borderId="0" xfId="76" applyFont="1"/>
    <xf numFmtId="0" fontId="6" fillId="0" borderId="21" xfId="74" applyNumberFormat="1" applyFont="1" applyFill="1" applyBorder="1" applyAlignment="1" applyProtection="1">
      <alignment horizontal="center" vertical="center" wrapText="1"/>
    </xf>
    <xf numFmtId="3" fontId="7" fillId="0" borderId="0" xfId="78" applyNumberFormat="1" applyFont="1" applyFill="1" applyBorder="1" applyAlignment="1">
      <alignment horizontal="right"/>
    </xf>
    <xf numFmtId="3" fontId="7" fillId="0" borderId="0" xfId="78" applyNumberFormat="1" applyFont="1" applyFill="1" applyBorder="1"/>
    <xf numFmtId="3" fontId="3" fillId="0" borderId="0" xfId="78" applyNumberFormat="1" applyFont="1" applyFill="1"/>
    <xf numFmtId="3" fontId="3" fillId="0" borderId="20" xfId="73" applyNumberFormat="1" applyFont="1" applyFill="1" applyBorder="1"/>
    <xf numFmtId="3" fontId="6" fillId="0" borderId="21" xfId="74" applyNumberFormat="1" applyFont="1" applyFill="1" applyBorder="1" applyAlignment="1" applyProtection="1">
      <alignment horizontal="center" vertical="center" wrapText="1"/>
    </xf>
    <xf numFmtId="165" fontId="3" fillId="0" borderId="0" xfId="0" applyNumberFormat="1" applyFont="1"/>
    <xf numFmtId="0" fontId="6" fillId="0" borderId="23" xfId="74" applyNumberFormat="1" applyFont="1" applyFill="1" applyBorder="1" applyAlignment="1" applyProtection="1">
      <alignment horizontal="centerContinuous" vertical="center"/>
    </xf>
    <xf numFmtId="0" fontId="7" fillId="0" borderId="23" xfId="73" applyNumberFormat="1" applyFont="1" applyFill="1" applyBorder="1" applyAlignment="1">
      <alignment horizontal="centerContinuous" vertical="center"/>
    </xf>
    <xf numFmtId="0" fontId="6" fillId="0" borderId="0" xfId="0" applyFont="1" applyAlignment="1">
      <alignment horizontal="right"/>
    </xf>
    <xf numFmtId="0" fontId="27" fillId="0" borderId="0" xfId="77" applyNumberFormat="1" applyFont="1" applyFill="1" applyBorder="1" applyAlignment="1">
      <alignment horizontal="center"/>
    </xf>
    <xf numFmtId="173" fontId="6" fillId="0" borderId="0" xfId="74" applyNumberFormat="1" applyFont="1" applyFill="1"/>
    <xf numFmtId="0" fontId="6" fillId="0" borderId="24" xfId="0" applyFont="1" applyFill="1" applyBorder="1" applyAlignment="1">
      <alignment horizontal="center" vertical="center" wrapText="1"/>
    </xf>
    <xf numFmtId="165" fontId="6" fillId="0" borderId="25" xfId="74" applyNumberFormat="1" applyFont="1" applyFill="1" applyBorder="1" applyAlignment="1" applyProtection="1">
      <alignment horizontal="center" vertical="center" wrapText="1"/>
    </xf>
    <xf numFmtId="0" fontId="6" fillId="0" borderId="0" xfId="0" applyFont="1"/>
    <xf numFmtId="165" fontId="3" fillId="0" borderId="0" xfId="0" applyNumberFormat="1" applyFont="1" applyFill="1"/>
    <xf numFmtId="0" fontId="24" fillId="32" borderId="12" xfId="0" applyFont="1" applyFill="1" applyBorder="1"/>
    <xf numFmtId="0" fontId="6" fillId="32" borderId="12" xfId="0" applyFont="1" applyFill="1" applyBorder="1" applyAlignment="1">
      <alignment wrapText="1"/>
    </xf>
    <xf numFmtId="0" fontId="6" fillId="33" borderId="22" xfId="0" applyFont="1" applyFill="1" applyBorder="1" applyAlignment="1">
      <alignment wrapText="1"/>
    </xf>
    <xf numFmtId="0" fontId="24" fillId="34" borderId="22" xfId="0" applyFont="1" applyFill="1" applyBorder="1"/>
    <xf numFmtId="0" fontId="26" fillId="0" borderId="0" xfId="67" applyFont="1" applyFill="1" applyBorder="1" applyAlignment="1"/>
    <xf numFmtId="0" fontId="7" fillId="0" borderId="26" xfId="0" applyFont="1" applyFill="1" applyBorder="1"/>
    <xf numFmtId="165" fontId="7" fillId="0" borderId="0" xfId="78" applyNumberFormat="1" applyFont="1" applyFill="1" applyAlignment="1">
      <alignment wrapText="1"/>
    </xf>
    <xf numFmtId="0" fontId="8" fillId="31" borderId="0" xfId="67" applyFill="1"/>
    <xf numFmtId="0" fontId="8" fillId="0" borderId="0" xfId="67"/>
    <xf numFmtId="0" fontId="53" fillId="33" borderId="0" xfId="67" applyFont="1" applyFill="1"/>
    <xf numFmtId="0" fontId="8" fillId="33" borderId="0" xfId="67" applyFill="1"/>
    <xf numFmtId="0" fontId="54" fillId="33" borderId="0" xfId="67" applyFont="1" applyFill="1"/>
    <xf numFmtId="0" fontId="55" fillId="33" borderId="0" xfId="67" applyFont="1" applyFill="1"/>
    <xf numFmtId="0" fontId="56" fillId="26" borderId="27" xfId="67" applyFont="1" applyFill="1" applyBorder="1"/>
    <xf numFmtId="0" fontId="8" fillId="26" borderId="27" xfId="67" applyFont="1" applyFill="1" applyBorder="1"/>
    <xf numFmtId="0" fontId="57" fillId="33" borderId="0" xfId="67" applyFont="1" applyFill="1"/>
    <xf numFmtId="0" fontId="58" fillId="33" borderId="0" xfId="67" quotePrefix="1" applyFont="1" applyFill="1"/>
    <xf numFmtId="165" fontId="7" fillId="0" borderId="0" xfId="79" applyNumberFormat="1" applyFont="1" applyFill="1" applyBorder="1" applyAlignment="1">
      <alignment horizontal="left"/>
    </xf>
    <xf numFmtId="0" fontId="7" fillId="0" borderId="0" xfId="67" applyFont="1" applyFill="1"/>
    <xf numFmtId="0" fontId="8" fillId="35" borderId="0" xfId="67" applyFill="1"/>
    <xf numFmtId="165" fontId="7" fillId="0" borderId="0" xfId="79" quotePrefix="1" applyNumberFormat="1" applyFont="1" applyFill="1" applyBorder="1" applyAlignment="1">
      <alignment horizontal="left"/>
    </xf>
    <xf numFmtId="165" fontId="7" fillId="0" borderId="0" xfId="79" applyNumberFormat="1" applyFont="1" applyFill="1" applyBorder="1"/>
    <xf numFmtId="165" fontId="7" fillId="0" borderId="0" xfId="79" applyNumberFormat="1" applyFont="1" applyFill="1"/>
    <xf numFmtId="3" fontId="6" fillId="0" borderId="12" xfId="0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3" fontId="6" fillId="0" borderId="22" xfId="0" applyNumberFormat="1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165" fontId="6" fillId="0" borderId="0" xfId="79" applyNumberFormat="1" applyFont="1" applyFill="1" applyAlignment="1">
      <alignment horizontal="left"/>
    </xf>
    <xf numFmtId="0" fontId="6" fillId="0" borderId="0" xfId="0" applyFont="1" applyFill="1"/>
    <xf numFmtId="0" fontId="7" fillId="0" borderId="0" xfId="0" quotePrefix="1" applyFont="1" applyFill="1" applyAlignment="1"/>
    <xf numFmtId="0" fontId="7" fillId="0" borderId="0" xfId="0" applyFont="1" applyFill="1" applyAlignment="1"/>
    <xf numFmtId="3" fontId="7" fillId="0" borderId="0" xfId="0" applyNumberFormat="1" applyFont="1" applyFill="1" applyAlignment="1"/>
    <xf numFmtId="3" fontId="6" fillId="0" borderId="0" xfId="0" applyNumberFormat="1" applyFont="1" applyFill="1" applyAlignment="1"/>
    <xf numFmtId="3" fontId="6" fillId="0" borderId="0" xfId="78" applyNumberFormat="1" applyFont="1" applyAlignment="1">
      <alignment horizontal="right"/>
    </xf>
    <xf numFmtId="0" fontId="11" fillId="26" borderId="27" xfId="54" applyFill="1" applyBorder="1" applyAlignment="1" applyProtection="1">
      <alignment horizontal="right"/>
    </xf>
    <xf numFmtId="3" fontId="7" fillId="0" borderId="0" xfId="79" applyNumberFormat="1" applyFont="1" applyFill="1" applyBorder="1"/>
    <xf numFmtId="175" fontId="6" fillId="0" borderId="0" xfId="74" applyNumberFormat="1" applyFont="1" applyFill="1" applyBorder="1"/>
    <xf numFmtId="3" fontId="6" fillId="0" borderId="28" xfId="74" applyNumberFormat="1" applyFont="1" applyFill="1" applyBorder="1" applyAlignment="1" applyProtection="1">
      <alignment horizontal="center" vertical="center" wrapText="1"/>
    </xf>
    <xf numFmtId="2" fontId="6" fillId="0" borderId="0" xfId="79" applyNumberFormat="1" applyFont="1" applyAlignment="1"/>
    <xf numFmtId="2" fontId="7" fillId="0" borderId="0" xfId="79" applyNumberFormat="1" applyFont="1" applyAlignment="1"/>
    <xf numFmtId="3" fontId="6" fillId="0" borderId="29" xfId="74" applyNumberFormat="1" applyFont="1" applyFill="1" applyBorder="1"/>
    <xf numFmtId="3" fontId="7" fillId="0" borderId="29" xfId="74" applyNumberFormat="1" applyFont="1" applyFill="1" applyBorder="1"/>
    <xf numFmtId="167" fontId="3" fillId="0" borderId="0" xfId="0" applyNumberFormat="1" applyFont="1" applyFill="1"/>
    <xf numFmtId="0" fontId="26" fillId="0" borderId="0" xfId="68" applyFont="1" applyFill="1" applyBorder="1" applyAlignment="1"/>
    <xf numFmtId="3" fontId="8" fillId="0" borderId="0" xfId="68" applyNumberFormat="1" applyFont="1" applyFill="1" applyBorder="1" applyAlignment="1"/>
    <xf numFmtId="0" fontId="8" fillId="0" borderId="0" xfId="68" applyFont="1" applyFill="1" applyBorder="1" applyAlignment="1"/>
    <xf numFmtId="0" fontId="7" fillId="0" borderId="0" xfId="68" applyNumberFormat="1" applyFont="1" applyFill="1" applyBorder="1" applyAlignment="1"/>
    <xf numFmtId="3" fontId="7" fillId="0" borderId="0" xfId="68" applyNumberFormat="1" applyFont="1" applyFill="1" applyBorder="1" applyAlignment="1"/>
    <xf numFmtId="0" fontId="6" fillId="0" borderId="0" xfId="68" applyNumberFormat="1" applyFont="1" applyFill="1" applyBorder="1" applyAlignment="1"/>
    <xf numFmtId="0" fontId="7" fillId="0" borderId="0" xfId="68" quotePrefix="1" applyNumberFormat="1" applyFont="1" applyFill="1" applyBorder="1" applyAlignment="1"/>
    <xf numFmtId="172" fontId="7" fillId="0" borderId="0" xfId="79" applyNumberFormat="1" applyFont="1" applyFill="1" applyBorder="1"/>
    <xf numFmtId="165" fontId="7" fillId="0" borderId="20" xfId="79" applyNumberFormat="1" applyFont="1" applyFill="1" applyBorder="1" applyAlignment="1">
      <alignment horizontal="left"/>
    </xf>
    <xf numFmtId="169" fontId="6" fillId="0" borderId="0" xfId="74" applyNumberFormat="1" applyFont="1" applyFill="1"/>
    <xf numFmtId="169" fontId="7" fillId="0" borderId="0" xfId="75" applyNumberFormat="1" applyFont="1" applyFill="1"/>
    <xf numFmtId="169" fontId="7" fillId="0" borderId="0" xfId="74" applyNumberFormat="1" applyFont="1" applyFill="1"/>
    <xf numFmtId="0" fontId="6" fillId="0" borderId="0" xfId="0" applyFont="1" applyFill="1" applyBorder="1" applyAlignment="1">
      <alignment vertical="center" wrapText="1"/>
    </xf>
    <xf numFmtId="3" fontId="7" fillId="0" borderId="0" xfId="74" applyNumberFormat="1" applyFont="1" applyFill="1" applyBorder="1"/>
    <xf numFmtId="169" fontId="6" fillId="0" borderId="0" xfId="74" applyNumberFormat="1" applyFont="1" applyFill="1" applyBorder="1"/>
    <xf numFmtId="169" fontId="7" fillId="0" borderId="0" xfId="75" applyNumberFormat="1" applyFont="1" applyFill="1" applyBorder="1"/>
    <xf numFmtId="169" fontId="7" fillId="0" borderId="0" xfId="74" applyNumberFormat="1" applyFont="1" applyFill="1" applyBorder="1"/>
    <xf numFmtId="165" fontId="6" fillId="0" borderId="0" xfId="67" applyNumberFormat="1" applyFont="1" applyFill="1"/>
    <xf numFmtId="165" fontId="7" fillId="0" borderId="0" xfId="67" applyNumberFormat="1" applyFont="1" applyFill="1"/>
    <xf numFmtId="3" fontId="7" fillId="0" borderId="26" xfId="68" applyNumberFormat="1" applyFont="1" applyFill="1" applyBorder="1" applyAlignment="1"/>
    <xf numFmtId="1" fontId="6" fillId="0" borderId="12" xfId="68" applyNumberFormat="1" applyFont="1" applyFill="1" applyBorder="1" applyAlignment="1">
      <alignment horizontal="center" vertical="center"/>
    </xf>
    <xf numFmtId="1" fontId="6" fillId="0" borderId="30" xfId="68" applyNumberFormat="1" applyFont="1" applyFill="1" applyBorder="1" applyAlignment="1">
      <alignment horizontal="center" vertical="center"/>
    </xf>
    <xf numFmtId="3" fontId="6" fillId="0" borderId="0" xfId="68" applyNumberFormat="1" applyFont="1" applyFill="1" applyBorder="1" applyAlignment="1">
      <alignment horizontal="right" indent="2"/>
    </xf>
    <xf numFmtId="3" fontId="7" fillId="0" borderId="0" xfId="68" applyNumberFormat="1" applyFont="1" applyFill="1" applyBorder="1" applyAlignment="1">
      <alignment horizontal="right" indent="2"/>
    </xf>
    <xf numFmtId="0" fontId="6" fillId="0" borderId="31" xfId="74" applyNumberFormat="1" applyFont="1" applyFill="1" applyBorder="1" applyAlignment="1" applyProtection="1">
      <alignment horizontal="centerContinuous" vertical="center"/>
    </xf>
    <xf numFmtId="0" fontId="6" fillId="0" borderId="32" xfId="74" applyNumberFormat="1" applyFont="1" applyFill="1" applyBorder="1" applyAlignment="1" applyProtection="1">
      <alignment horizontal="center" vertical="center" wrapText="1"/>
    </xf>
    <xf numFmtId="3" fontId="3" fillId="0" borderId="33" xfId="78" applyNumberFormat="1" applyFont="1" applyFill="1" applyBorder="1"/>
    <xf numFmtId="3" fontId="6" fillId="0" borderId="33" xfId="78" applyNumberFormat="1" applyFont="1" applyBorder="1" applyAlignment="1">
      <alignment horizontal="right"/>
    </xf>
    <xf numFmtId="3" fontId="7" fillId="0" borderId="33" xfId="78" applyNumberFormat="1" applyFont="1" applyFill="1" applyBorder="1" applyAlignment="1">
      <alignment horizontal="right"/>
    </xf>
    <xf numFmtId="165" fontId="3" fillId="0" borderId="33" xfId="78" applyNumberFormat="1" applyFont="1" applyFill="1" applyBorder="1"/>
    <xf numFmtId="0" fontId="6" fillId="0" borderId="34" xfId="74" applyNumberFormat="1" applyFont="1" applyFill="1" applyBorder="1" applyAlignment="1" applyProtection="1">
      <alignment horizontal="centerContinuous" vertical="center"/>
    </xf>
    <xf numFmtId="0" fontId="6" fillId="0" borderId="35" xfId="74" applyNumberFormat="1" applyFont="1" applyFill="1" applyBorder="1" applyAlignment="1" applyProtection="1">
      <alignment horizontal="center" vertical="center" wrapText="1"/>
    </xf>
    <xf numFmtId="165" fontId="3" fillId="0" borderId="29" xfId="78" applyNumberFormat="1" applyFont="1" applyFill="1" applyBorder="1"/>
    <xf numFmtId="2" fontId="6" fillId="0" borderId="29" xfId="79" applyNumberFormat="1" applyFont="1" applyBorder="1" applyAlignment="1"/>
    <xf numFmtId="2" fontId="7" fillId="0" borderId="29" xfId="79" applyNumberFormat="1" applyFont="1" applyBorder="1" applyAlignment="1"/>
    <xf numFmtId="3" fontId="6" fillId="0" borderId="32" xfId="74" applyNumberFormat="1" applyFont="1" applyFill="1" applyBorder="1" applyAlignment="1" applyProtection="1">
      <alignment horizontal="center" vertical="center" wrapText="1"/>
    </xf>
    <xf numFmtId="0" fontId="3" fillId="0" borderId="33" xfId="73" applyFont="1" applyFill="1" applyBorder="1"/>
    <xf numFmtId="3" fontId="6" fillId="0" borderId="29" xfId="68" applyNumberFormat="1" applyFont="1" applyFill="1" applyBorder="1" applyAlignment="1">
      <alignment horizontal="right" indent="2"/>
    </xf>
    <xf numFmtId="3" fontId="7" fillId="0" borderId="29" xfId="68" applyNumberFormat="1" applyFont="1" applyFill="1" applyBorder="1" applyAlignment="1">
      <alignment horizontal="right" indent="2"/>
    </xf>
    <xf numFmtId="0" fontId="0" fillId="0" borderId="0" xfId="0" applyBorder="1"/>
    <xf numFmtId="0" fontId="31" fillId="0" borderId="0" xfId="0" applyFont="1" applyFill="1" applyBorder="1" applyAlignment="1"/>
    <xf numFmtId="0" fontId="0" fillId="0" borderId="0" xfId="0" applyFill="1"/>
    <xf numFmtId="0" fontId="0" fillId="0" borderId="20" xfId="0" applyFill="1" applyBorder="1"/>
    <xf numFmtId="0" fontId="6" fillId="0" borderId="5" xfId="67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right"/>
    </xf>
    <xf numFmtId="3" fontId="0" fillId="0" borderId="0" xfId="0" applyNumberFormat="1" applyFill="1"/>
    <xf numFmtId="168" fontId="7" fillId="0" borderId="0" xfId="0" applyNumberFormat="1" applyFont="1" applyFill="1" applyBorder="1" applyAlignment="1">
      <alignment horizontal="right"/>
    </xf>
    <xf numFmtId="3" fontId="0" fillId="0" borderId="36" xfId="0" applyNumberFormat="1" applyFill="1" applyBorder="1"/>
    <xf numFmtId="3" fontId="0" fillId="0" borderId="37" xfId="0" applyNumberFormat="1" applyFill="1" applyBorder="1"/>
    <xf numFmtId="3" fontId="0" fillId="0" borderId="0" xfId="0" applyNumberFormat="1" applyFill="1" applyBorder="1"/>
    <xf numFmtId="3" fontId="6" fillId="0" borderId="0" xfId="0" applyNumberFormat="1" applyFont="1" applyFill="1" applyBorder="1" applyAlignment="1"/>
    <xf numFmtId="165" fontId="6" fillId="0" borderId="33" xfId="0" applyNumberFormat="1" applyFont="1" applyFill="1" applyBorder="1" applyAlignment="1"/>
    <xf numFmtId="165" fontId="6" fillId="0" borderId="0" xfId="0" applyNumberFormat="1" applyFont="1" applyFill="1" applyBorder="1" applyAlignment="1"/>
    <xf numFmtId="165" fontId="6" fillId="0" borderId="36" xfId="0" applyNumberFormat="1" applyFont="1" applyFill="1" applyBorder="1" applyAlignment="1"/>
    <xf numFmtId="3" fontId="6" fillId="0" borderId="38" xfId="0" applyNumberFormat="1" applyFont="1" applyFill="1" applyBorder="1" applyAlignment="1"/>
    <xf numFmtId="165" fontId="7" fillId="0" borderId="0" xfId="0" applyNumberFormat="1" applyFont="1" applyFill="1" applyBorder="1" applyAlignment="1">
      <alignment horizontal="right"/>
    </xf>
    <xf numFmtId="3" fontId="6" fillId="0" borderId="39" xfId="0" applyNumberFormat="1" applyFont="1" applyFill="1" applyBorder="1" applyAlignment="1"/>
    <xf numFmtId="165" fontId="7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165" fontId="7" fillId="0" borderId="33" xfId="0" applyNumberFormat="1" applyFont="1" applyFill="1" applyBorder="1" applyAlignment="1"/>
    <xf numFmtId="165" fontId="7" fillId="0" borderId="36" xfId="0" applyNumberFormat="1" applyFont="1" applyFill="1" applyBorder="1" applyAlignment="1"/>
    <xf numFmtId="3" fontId="7" fillId="0" borderId="38" xfId="0" applyNumberFormat="1" applyFont="1" applyFill="1" applyBorder="1" applyAlignment="1"/>
    <xf numFmtId="3" fontId="7" fillId="0" borderId="39" xfId="0" applyNumberFormat="1" applyFont="1" applyFill="1" applyBorder="1" applyAlignment="1"/>
    <xf numFmtId="3" fontId="24" fillId="0" borderId="0" xfId="0" applyNumberFormat="1" applyFont="1" applyFill="1"/>
    <xf numFmtId="165" fontId="6" fillId="0" borderId="0" xfId="0" applyNumberFormat="1" applyFont="1" applyFill="1" applyAlignment="1"/>
    <xf numFmtId="3" fontId="7" fillId="0" borderId="40" xfId="0" applyNumberFormat="1" applyFont="1" applyFill="1" applyBorder="1" applyAlignment="1"/>
    <xf numFmtId="165" fontId="7" fillId="0" borderId="0" xfId="0" applyNumberFormat="1" applyFont="1" applyFill="1" applyAlignment="1">
      <alignment horizontal="right"/>
    </xf>
    <xf numFmtId="1" fontId="6" fillId="0" borderId="0" xfId="79" applyNumberFormat="1" applyFont="1" applyFill="1" applyBorder="1" applyAlignment="1">
      <alignment horizontal="left"/>
    </xf>
    <xf numFmtId="0" fontId="6" fillId="0" borderId="0" xfId="79" applyNumberFormat="1" applyFont="1" applyFill="1" applyBorder="1" applyAlignment="1">
      <alignment horizontal="left"/>
    </xf>
    <xf numFmtId="0" fontId="27" fillId="0" borderId="23" xfId="77" applyNumberFormat="1" applyFont="1" applyFill="1" applyBorder="1" applyAlignment="1">
      <alignment horizontal="center"/>
    </xf>
    <xf numFmtId="0" fontId="27" fillId="0" borderId="12" xfId="77" applyNumberFormat="1" applyFont="1" applyFill="1" applyBorder="1" applyAlignment="1">
      <alignment horizontal="center"/>
    </xf>
    <xf numFmtId="0" fontId="7" fillId="0" borderId="34" xfId="73" applyNumberFormat="1" applyFont="1" applyFill="1" applyBorder="1" applyAlignment="1">
      <alignment horizontal="centerContinuous" vertical="center"/>
    </xf>
    <xf numFmtId="3" fontId="6" fillId="0" borderId="29" xfId="78" applyNumberFormat="1" applyFont="1" applyBorder="1" applyAlignment="1">
      <alignment horizontal="right"/>
    </xf>
    <xf numFmtId="0" fontId="60" fillId="0" borderId="0" xfId="0" applyFont="1"/>
    <xf numFmtId="0" fontId="61" fillId="0" borderId="0" xfId="79" applyNumberFormat="1" applyFont="1" applyFill="1" applyBorder="1" applyAlignment="1">
      <alignment horizontal="left"/>
    </xf>
    <xf numFmtId="4" fontId="7" fillId="0" borderId="0" xfId="79" applyNumberFormat="1" applyFont="1" applyFill="1" applyBorder="1"/>
    <xf numFmtId="2" fontId="60" fillId="0" borderId="0" xfId="0" applyNumberFormat="1" applyFont="1"/>
    <xf numFmtId="0" fontId="6" fillId="0" borderId="12" xfId="0" applyFont="1" applyFill="1" applyBorder="1" applyAlignment="1">
      <alignment horizontal="center" vertical="center" wrapText="1"/>
    </xf>
    <xf numFmtId="3" fontId="0" fillId="0" borderId="0" xfId="0" applyNumberFormat="1"/>
    <xf numFmtId="165" fontId="0" fillId="0" borderId="0" xfId="0" applyNumberFormat="1" applyFill="1"/>
    <xf numFmtId="0" fontId="27" fillId="0" borderId="23" xfId="77" applyNumberFormat="1" applyFont="1" applyFill="1" applyBorder="1" applyAlignment="1">
      <alignment horizontal="center"/>
    </xf>
    <xf numFmtId="0" fontId="27" fillId="0" borderId="21" xfId="77" applyNumberFormat="1" applyFont="1" applyFill="1" applyBorder="1" applyAlignment="1">
      <alignment horizontal="center"/>
    </xf>
    <xf numFmtId="0" fontId="27" fillId="0" borderId="12" xfId="77" applyNumberFormat="1" applyFont="1" applyFill="1" applyBorder="1" applyAlignment="1">
      <alignment horizontal="center"/>
    </xf>
    <xf numFmtId="0" fontId="6" fillId="0" borderId="23" xfId="74" applyNumberFormat="1" applyFont="1" applyFill="1" applyBorder="1" applyAlignment="1" applyProtection="1">
      <alignment horizontal="center" vertical="center" wrapText="1"/>
    </xf>
    <xf numFmtId="3" fontId="5" fillId="0" borderId="49" xfId="0" applyNumberFormat="1" applyFont="1" applyFill="1" applyBorder="1" applyAlignment="1">
      <alignment horizontal="center"/>
    </xf>
    <xf numFmtId="3" fontId="5" fillId="0" borderId="50" xfId="0" applyNumberFormat="1" applyFont="1" applyFill="1" applyBorder="1" applyAlignment="1">
      <alignment horizontal="center"/>
    </xf>
    <xf numFmtId="3" fontId="5" fillId="0" borderId="26" xfId="0" applyNumberFormat="1" applyFont="1" applyFill="1" applyBorder="1" applyAlignment="1">
      <alignment horizontal="center"/>
    </xf>
    <xf numFmtId="3" fontId="5" fillId="0" borderId="51" xfId="0" applyNumberFormat="1" applyFont="1" applyFill="1" applyBorder="1" applyAlignment="1">
      <alignment horizontal="center"/>
    </xf>
    <xf numFmtId="3" fontId="5" fillId="0" borderId="52" xfId="0" applyNumberFormat="1" applyFont="1" applyFill="1" applyBorder="1" applyAlignment="1">
      <alignment horizontal="center"/>
    </xf>
    <xf numFmtId="0" fontId="6" fillId="0" borderId="13" xfId="67" applyFont="1" applyFill="1" applyBorder="1" applyAlignment="1">
      <alignment horizontal="center" vertical="center" wrapText="1"/>
    </xf>
    <xf numFmtId="0" fontId="6" fillId="0" borderId="5" xfId="67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67" applyFont="1" applyFill="1" applyBorder="1" applyAlignment="1">
      <alignment horizontal="center" vertical="center"/>
    </xf>
    <xf numFmtId="0" fontId="6" fillId="0" borderId="45" xfId="67" applyFont="1" applyFill="1" applyBorder="1" applyAlignment="1">
      <alignment horizontal="center" vertical="center" wrapText="1"/>
    </xf>
    <xf numFmtId="0" fontId="6" fillId="0" borderId="37" xfId="67" applyFont="1" applyFill="1" applyBorder="1" applyAlignment="1">
      <alignment horizontal="center" vertical="center" wrapText="1"/>
    </xf>
    <xf numFmtId="0" fontId="6" fillId="0" borderId="46" xfId="67" applyFont="1" applyFill="1" applyBorder="1" applyAlignment="1">
      <alignment horizontal="center" vertical="center" wrapText="1"/>
    </xf>
    <xf numFmtId="0" fontId="6" fillId="0" borderId="30" xfId="67" applyFont="1" applyFill="1" applyBorder="1" applyAlignment="1">
      <alignment horizontal="center" vertical="center" wrapText="1"/>
    </xf>
    <xf numFmtId="0" fontId="6" fillId="0" borderId="17" xfId="67" applyFont="1" applyFill="1" applyBorder="1" applyAlignment="1">
      <alignment horizontal="center" vertical="center" wrapText="1"/>
    </xf>
    <xf numFmtId="0" fontId="6" fillId="0" borderId="13" xfId="67" applyFont="1" applyFill="1" applyBorder="1" applyAlignment="1">
      <alignment horizontal="center" vertical="center"/>
    </xf>
    <xf numFmtId="0" fontId="6" fillId="0" borderId="41" xfId="67" applyFont="1" applyFill="1" applyBorder="1" applyAlignment="1">
      <alignment horizontal="center" vertical="center"/>
    </xf>
    <xf numFmtId="0" fontId="6" fillId="0" borderId="47" xfId="67" applyFont="1" applyFill="1" applyBorder="1" applyAlignment="1">
      <alignment horizontal="center" vertical="center" wrapText="1"/>
    </xf>
    <xf numFmtId="0" fontId="6" fillId="0" borderId="36" xfId="67" applyFont="1" applyFill="1" applyBorder="1" applyAlignment="1">
      <alignment horizontal="center" vertical="center" wrapText="1"/>
    </xf>
    <xf numFmtId="0" fontId="6" fillId="0" borderId="48" xfId="67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0" fontId="23" fillId="0" borderId="23" xfId="68" applyFont="1" applyBorder="1" applyAlignment="1">
      <alignment horizontal="center" vertical="center" wrapText="1"/>
    </xf>
    <xf numFmtId="0" fontId="23" fillId="0" borderId="12" xfId="68" applyFont="1" applyBorder="1" applyAlignment="1">
      <alignment horizontal="center" vertical="center" wrapText="1"/>
    </xf>
    <xf numFmtId="3" fontId="6" fillId="0" borderId="23" xfId="68" applyNumberFormat="1" applyFont="1" applyBorder="1" applyAlignment="1">
      <alignment horizontal="center" vertical="center" wrapText="1"/>
    </xf>
    <xf numFmtId="3" fontId="6" fillId="0" borderId="34" xfId="68" applyNumberFormat="1" applyFont="1" applyBorder="1" applyAlignment="1">
      <alignment horizontal="center" vertical="center" wrapText="1"/>
    </xf>
  </cellXfs>
  <cellStyles count="11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bin" xfId="26"/>
    <cellStyle name="Calculation" xfId="27"/>
    <cellStyle name="cell" xfId="28"/>
    <cellStyle name="Check Cell" xfId="29"/>
    <cellStyle name="Code additions" xfId="30"/>
    <cellStyle name="Col&amp;RowHeadings" xfId="31"/>
    <cellStyle name="ColCodes" xfId="32"/>
    <cellStyle name="ColTitles" xfId="33"/>
    <cellStyle name="ColTitles 2" xfId="105"/>
    <cellStyle name="column" xfId="34"/>
    <cellStyle name="Comma [0]_9ENRL" xfId="35"/>
    <cellStyle name="Comma 2" xfId="36"/>
    <cellStyle name="Comma 2 2" xfId="106"/>
    <cellStyle name="Comma_9ENRL" xfId="37"/>
    <cellStyle name="Currency [0]_9ENRL" xfId="38"/>
    <cellStyle name="Currency_9ENRL" xfId="39"/>
    <cellStyle name="DataEntryCells" xfId="40"/>
    <cellStyle name="Didier" xfId="41"/>
    <cellStyle name="Didier - Title" xfId="42"/>
    <cellStyle name="Didier subtitles" xfId="43"/>
    <cellStyle name="Explanatory Text" xfId="44"/>
    <cellStyle name="formula" xfId="45"/>
    <cellStyle name="gap" xfId="46"/>
    <cellStyle name="Good" xfId="47"/>
    <cellStyle name="Grey_background" xfId="48"/>
    <cellStyle name="GreyBackground" xfId="49"/>
    <cellStyle name="Heading 1" xfId="50"/>
    <cellStyle name="Heading 2" xfId="51"/>
    <cellStyle name="Heading 3" xfId="52"/>
    <cellStyle name="Heading 4" xfId="53"/>
    <cellStyle name="Hipervínculo" xfId="54" builtinId="8"/>
    <cellStyle name="Input" xfId="55"/>
    <cellStyle name="ISC" xfId="56"/>
    <cellStyle name="isced" xfId="57"/>
    <cellStyle name="isced 2" xfId="107"/>
    <cellStyle name="ISCED Titles" xfId="58"/>
    <cellStyle name="level1a" xfId="59"/>
    <cellStyle name="level2" xfId="60"/>
    <cellStyle name="level2a" xfId="61"/>
    <cellStyle name="level3" xfId="62"/>
    <cellStyle name="Line titles-Rows" xfId="63"/>
    <cellStyle name="Linked Cell" xfId="64"/>
    <cellStyle name="Migliaia (0)_conti99" xfId="65"/>
    <cellStyle name="Millares [0] 2" xfId="66"/>
    <cellStyle name="Normal" xfId="0" builtinId="0"/>
    <cellStyle name="Normal 2" xfId="67"/>
    <cellStyle name="Normal 2 2" xfId="68"/>
    <cellStyle name="Normal 2 3" xfId="108"/>
    <cellStyle name="Normal 3" xfId="69"/>
    <cellStyle name="Normal 3 2" xfId="109"/>
    <cellStyle name="Normal 4" xfId="70"/>
    <cellStyle name="Normal 5" xfId="71"/>
    <cellStyle name="Normal 6" xfId="72"/>
    <cellStyle name="Normal 6 2" xfId="110"/>
    <cellStyle name="Normal 7" xfId="103"/>
    <cellStyle name="Normal 8" xfId="104"/>
    <cellStyle name="Normal_25-Gasto" xfId="73"/>
    <cellStyle name="Normal_AE92" xfId="74"/>
    <cellStyle name="Normal_AE96LQV1" xfId="75"/>
    <cellStyle name="Normal_C-E-Rc-Rs" xfId="76"/>
    <cellStyle name="Normal_CL95LQV2" xfId="77"/>
    <cellStyle name="Normal_CUADROS" xfId="78"/>
    <cellStyle name="Normal_CUADROS 2" xfId="79"/>
    <cellStyle name="Normal_librojesus" xfId="80"/>
    <cellStyle name="Note" xfId="81"/>
    <cellStyle name="Output" xfId="82"/>
    <cellStyle name="Percent 2" xfId="83"/>
    <cellStyle name="Percent 2 2" xfId="111"/>
    <cellStyle name="Percent_country-CDElec" xfId="84"/>
    <cellStyle name="Prozent_SubCatperStud" xfId="85"/>
    <cellStyle name="row" xfId="86"/>
    <cellStyle name="RowCodes" xfId="87"/>
    <cellStyle name="Row-Col Headings" xfId="88"/>
    <cellStyle name="RowTitles" xfId="89"/>
    <cellStyle name="RowTitles-Col2" xfId="90"/>
    <cellStyle name="RowTitles-Detail" xfId="91"/>
    <cellStyle name="Standard_Info" xfId="92"/>
    <cellStyle name="Sub-titles" xfId="93"/>
    <cellStyle name="Sub-titles Cols" xfId="94"/>
    <cellStyle name="Sub-titles rows" xfId="95"/>
    <cellStyle name="Table No." xfId="96"/>
    <cellStyle name="Table Title" xfId="97"/>
    <cellStyle name="temp" xfId="98"/>
    <cellStyle name="Title" xfId="99"/>
    <cellStyle name="title1" xfId="100"/>
    <cellStyle name="Titles" xfId="101"/>
    <cellStyle name="Warning Text" xfId="10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UOE/Ind2001/calcul_B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NWB/POpul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S/CD%20Australia/PISA%20Plus/PISA%20Plus%20Final%20Charts/IRPISAPlus_Chap5_ChartCorrec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O35"/>
  <sheetViews>
    <sheetView tabSelected="1" showWhiteSpace="0" zoomScaleNormal="100" workbookViewId="0"/>
  </sheetViews>
  <sheetFormatPr baseColWidth="10" defaultColWidth="11.42578125" defaultRowHeight="12.75"/>
  <cols>
    <col min="1" max="1" width="4" style="60" customWidth="1"/>
    <col min="2" max="2" width="8" style="60" customWidth="1"/>
    <col min="3" max="10" width="13.5703125" style="60" customWidth="1"/>
    <col min="11" max="11" width="15" style="60" customWidth="1"/>
    <col min="12" max="16384" width="11.42578125" style="60"/>
  </cols>
  <sheetData>
    <row r="1" spans="1:67" s="71" customFormat="1" ht="13.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</row>
    <row r="2" spans="1:67" s="71" customFormat="1" ht="21.75" customHeight="1">
      <c r="A2" s="59"/>
      <c r="B2" s="61" t="s">
        <v>129</v>
      </c>
      <c r="C2" s="62"/>
      <c r="D2" s="62"/>
      <c r="E2" s="62"/>
      <c r="F2" s="62"/>
      <c r="G2" s="62"/>
      <c r="H2" s="62"/>
      <c r="I2" s="62"/>
      <c r="J2" s="62"/>
      <c r="K2" s="62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</row>
    <row r="3" spans="1:67" s="71" customFormat="1" ht="15">
      <c r="A3" s="59"/>
      <c r="B3" s="63" t="s">
        <v>68</v>
      </c>
      <c r="C3" s="62"/>
      <c r="D3" s="62"/>
      <c r="E3" s="62"/>
      <c r="F3" s="62"/>
      <c r="G3" s="62"/>
      <c r="H3" s="62"/>
      <c r="I3" s="62"/>
      <c r="J3" s="62"/>
      <c r="K3" s="62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</row>
    <row r="4" spans="1:67" s="71" customFormat="1" ht="16.5" thickBot="1">
      <c r="A4" s="59"/>
      <c r="B4" s="64" t="s">
        <v>130</v>
      </c>
      <c r="C4" s="62"/>
      <c r="D4" s="62"/>
      <c r="E4" s="62"/>
      <c r="F4" s="62"/>
      <c r="G4" s="62"/>
      <c r="H4" s="62"/>
      <c r="I4" s="62"/>
      <c r="J4" s="62"/>
      <c r="K4" s="62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</row>
    <row r="5" spans="1:67" s="71" customFormat="1" ht="14.25" thickTop="1" thickBot="1">
      <c r="A5" s="59"/>
      <c r="B5" s="87" t="s">
        <v>69</v>
      </c>
      <c r="C5" s="65" t="s">
        <v>131</v>
      </c>
      <c r="D5" s="66"/>
      <c r="E5" s="66"/>
      <c r="F5" s="66"/>
      <c r="G5" s="66"/>
      <c r="H5" s="66"/>
      <c r="I5" s="66"/>
      <c r="J5" s="66"/>
      <c r="K5" s="66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</row>
    <row r="6" spans="1:67" s="71" customFormat="1" ht="14.25" thickTop="1" thickBot="1">
      <c r="A6" s="59"/>
      <c r="B6" s="87" t="s">
        <v>70</v>
      </c>
      <c r="C6" s="65" t="s">
        <v>132</v>
      </c>
      <c r="D6" s="66"/>
      <c r="E6" s="66"/>
      <c r="F6" s="66"/>
      <c r="G6" s="66"/>
      <c r="H6" s="66"/>
      <c r="I6" s="66"/>
      <c r="J6" s="66"/>
      <c r="K6" s="66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</row>
    <row r="7" spans="1:67" s="71" customFormat="1" ht="14.25" thickTop="1" thickBot="1">
      <c r="A7" s="59"/>
      <c r="B7" s="87" t="s">
        <v>71</v>
      </c>
      <c r="C7" s="65" t="s">
        <v>133</v>
      </c>
      <c r="D7" s="66"/>
      <c r="E7" s="66"/>
      <c r="F7" s="66"/>
      <c r="G7" s="66"/>
      <c r="H7" s="66"/>
      <c r="I7" s="66"/>
      <c r="J7" s="66"/>
      <c r="K7" s="66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</row>
    <row r="8" spans="1:67" s="71" customFormat="1" ht="14.25" thickTop="1" thickBot="1">
      <c r="A8" s="59"/>
      <c r="B8" s="87" t="s">
        <v>72</v>
      </c>
      <c r="C8" s="65" t="s">
        <v>90</v>
      </c>
      <c r="D8" s="66"/>
      <c r="E8" s="66"/>
      <c r="F8" s="66"/>
      <c r="G8" s="66"/>
      <c r="H8" s="66"/>
      <c r="I8" s="66"/>
      <c r="J8" s="66"/>
      <c r="K8" s="66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</row>
    <row r="9" spans="1:67" s="71" customFormat="1" ht="14.25" thickTop="1" thickBot="1">
      <c r="A9" s="59"/>
      <c r="B9" s="87" t="s">
        <v>73</v>
      </c>
      <c r="C9" s="65" t="s">
        <v>74</v>
      </c>
      <c r="D9" s="66"/>
      <c r="E9" s="66"/>
      <c r="F9" s="66"/>
      <c r="G9" s="66"/>
      <c r="H9" s="66"/>
      <c r="I9" s="66"/>
      <c r="J9" s="66"/>
      <c r="K9" s="66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</row>
    <row r="10" spans="1:67" s="71" customFormat="1" ht="14.25" thickTop="1" thickBot="1">
      <c r="A10" s="59"/>
      <c r="B10" s="87" t="s">
        <v>118</v>
      </c>
      <c r="C10" s="65" t="s">
        <v>134</v>
      </c>
      <c r="D10" s="66"/>
      <c r="E10" s="66"/>
      <c r="F10" s="66"/>
      <c r="G10" s="66"/>
      <c r="H10" s="66"/>
      <c r="I10" s="66"/>
      <c r="J10" s="66"/>
      <c r="K10" s="66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</row>
    <row r="11" spans="1:67" s="71" customFormat="1" ht="14.25" thickTop="1" thickBot="1">
      <c r="A11" s="59"/>
      <c r="B11" s="87" t="s">
        <v>75</v>
      </c>
      <c r="C11" s="65" t="s">
        <v>91</v>
      </c>
      <c r="D11" s="66"/>
      <c r="E11" s="66"/>
      <c r="F11" s="66"/>
      <c r="G11" s="66"/>
      <c r="H11" s="66"/>
      <c r="I11" s="66"/>
      <c r="J11" s="66"/>
      <c r="K11" s="66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</row>
    <row r="12" spans="1:67" s="71" customFormat="1" ht="13.5" thickTop="1">
      <c r="A12" s="59"/>
      <c r="B12" s="67" t="s">
        <v>76</v>
      </c>
      <c r="C12" s="62"/>
      <c r="D12" s="62"/>
      <c r="E12" s="62"/>
      <c r="F12" s="62"/>
      <c r="G12" s="62"/>
      <c r="H12" s="62"/>
      <c r="I12" s="62"/>
      <c r="J12" s="62"/>
      <c r="K12" s="62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</row>
    <row r="13" spans="1:67" s="71" customFormat="1">
      <c r="A13" s="59"/>
      <c r="B13" s="68" t="s">
        <v>135</v>
      </c>
      <c r="C13" s="62"/>
      <c r="D13" s="62"/>
      <c r="E13" s="62"/>
      <c r="F13" s="62"/>
      <c r="G13" s="62"/>
      <c r="H13" s="62"/>
      <c r="I13" s="62"/>
      <c r="J13" s="62"/>
      <c r="K13" s="62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</row>
    <row r="14" spans="1:67" s="71" customFormat="1">
      <c r="A14" s="59"/>
      <c r="B14" s="68" t="s">
        <v>120</v>
      </c>
      <c r="C14" s="62"/>
      <c r="D14" s="62"/>
      <c r="E14" s="62"/>
      <c r="F14" s="62"/>
      <c r="G14" s="62"/>
      <c r="H14" s="62"/>
      <c r="I14" s="62"/>
      <c r="J14" s="62"/>
      <c r="K14" s="62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</row>
    <row r="15" spans="1:67" s="71" customForma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</row>
    <row r="16" spans="1:67" s="71" customFormat="1">
      <c r="A16" s="59"/>
      <c r="B16" s="67" t="s">
        <v>77</v>
      </c>
      <c r="C16" s="62"/>
      <c r="D16" s="62"/>
      <c r="E16" s="62"/>
      <c r="F16" s="62"/>
      <c r="G16" s="62"/>
      <c r="H16" s="62"/>
      <c r="I16" s="62"/>
      <c r="J16" s="62"/>
      <c r="K16" s="62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</row>
    <row r="17" spans="1:67" s="71" customForma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</row>
    <row r="18" spans="1:67" s="71" customForma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</row>
    <row r="19" spans="1:67" s="71" customForma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</row>
    <row r="20" spans="1:67" s="71" customForma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</row>
    <row r="21" spans="1:67" s="71" customForma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</row>
    <row r="22" spans="1:67" s="71" customForma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</row>
    <row r="23" spans="1:67" s="71" customForma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</row>
    <row r="24" spans="1:67" s="71" customForma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</row>
    <row r="25" spans="1:67" s="71" customForma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</row>
    <row r="26" spans="1:67" s="71" customForma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</row>
    <row r="27" spans="1:67" s="71" customForma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</row>
    <row r="28" spans="1:67" s="71" customForma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</row>
    <row r="29" spans="1:67" s="71" customForma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</row>
    <row r="30" spans="1:67" s="71" customForma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</row>
    <row r="31" spans="1:67" s="71" customForma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</row>
    <row r="32" spans="1:67" s="71" customForma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</row>
    <row r="33" spans="1:67" s="71" customForma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</row>
    <row r="34" spans="1:67" s="71" customForma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</row>
    <row r="35" spans="1:67" s="71" customForma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</row>
  </sheetData>
  <hyperlinks>
    <hyperlink ref="B5" location="B4.1a!A1" display="B4.1a"/>
    <hyperlink ref="B7:B11" location="B3.1!A1" display="B3.1"/>
    <hyperlink ref="B7" location="B4.2!A1" display="B4.2"/>
    <hyperlink ref="B8" location="B4.3!A1" display="B4.3"/>
    <hyperlink ref="B9" location="B4.4!A1" display="B4.4"/>
    <hyperlink ref="B10" location="B4.5!A1" display="B4.5"/>
    <hyperlink ref="B6" location="B4.1b!A1" display="B4.1b"/>
    <hyperlink ref="B11" location="B4.6!A1" display="B4.6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U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2.75"/>
  <cols>
    <col min="1" max="1" width="36.85546875" customWidth="1"/>
    <col min="3" max="3" width="7.7109375" bestFit="1" customWidth="1"/>
    <col min="5" max="5" width="7.7109375" bestFit="1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  <col min="15" max="15" width="9.42578125" customWidth="1"/>
  </cols>
  <sheetData>
    <row r="1" spans="1:21">
      <c r="A1" s="35" t="s">
        <v>124</v>
      </c>
      <c r="B1" s="1"/>
      <c r="C1" s="1"/>
      <c r="D1" s="39"/>
      <c r="E1" s="1"/>
      <c r="F1" s="1"/>
      <c r="G1" s="1"/>
      <c r="H1" s="32"/>
      <c r="I1" s="32"/>
      <c r="J1" s="32"/>
      <c r="K1" s="32"/>
      <c r="L1" s="32"/>
      <c r="M1" s="32"/>
    </row>
    <row r="2" spans="1:21" ht="10.15" customHeight="1" thickBot="1">
      <c r="A2" s="30"/>
      <c r="B2" s="33"/>
      <c r="C2" s="33"/>
      <c r="D2" s="40"/>
      <c r="E2" s="1"/>
      <c r="F2" s="33"/>
      <c r="G2" s="45"/>
      <c r="H2" s="32"/>
      <c r="I2" s="32"/>
      <c r="J2" s="32"/>
      <c r="K2" s="32"/>
      <c r="L2" s="32"/>
      <c r="M2" s="32"/>
    </row>
    <row r="3" spans="1:21">
      <c r="A3" s="176"/>
      <c r="B3" s="43">
        <v>2009</v>
      </c>
      <c r="C3" s="44"/>
      <c r="D3" s="120">
        <v>2010</v>
      </c>
      <c r="E3" s="126"/>
      <c r="F3" s="43">
        <v>2011</v>
      </c>
      <c r="G3" s="44"/>
      <c r="H3" s="120">
        <v>2012</v>
      </c>
      <c r="I3" s="126"/>
      <c r="J3" s="43">
        <v>2013</v>
      </c>
      <c r="K3" s="44"/>
      <c r="L3" s="43">
        <v>2014</v>
      </c>
      <c r="M3" s="44"/>
      <c r="N3" s="120">
        <v>2015</v>
      </c>
      <c r="O3" s="44"/>
      <c r="P3" s="120">
        <v>2016</v>
      </c>
      <c r="Q3" s="44"/>
      <c r="R3" s="120">
        <v>2017</v>
      </c>
      <c r="S3" s="44"/>
      <c r="T3" s="120">
        <v>2018</v>
      </c>
      <c r="U3" s="44"/>
    </row>
    <row r="4" spans="1:21" ht="18">
      <c r="A4" s="177"/>
      <c r="B4" s="121" t="s">
        <v>49</v>
      </c>
      <c r="C4" s="127" t="s">
        <v>67</v>
      </c>
      <c r="D4" s="41" t="s">
        <v>49</v>
      </c>
      <c r="E4" s="36" t="s">
        <v>67</v>
      </c>
      <c r="F4" s="121" t="s">
        <v>49</v>
      </c>
      <c r="G4" s="127" t="s">
        <v>67</v>
      </c>
      <c r="H4" s="41" t="s">
        <v>49</v>
      </c>
      <c r="I4" s="36" t="s">
        <v>67</v>
      </c>
      <c r="J4" s="121" t="s">
        <v>49</v>
      </c>
      <c r="K4" s="127" t="s">
        <v>67</v>
      </c>
      <c r="L4" s="41" t="s">
        <v>49</v>
      </c>
      <c r="M4" s="36" t="s">
        <v>67</v>
      </c>
      <c r="N4" s="131" t="s">
        <v>49</v>
      </c>
      <c r="O4" s="36" t="s">
        <v>67</v>
      </c>
      <c r="P4" s="131" t="s">
        <v>49</v>
      </c>
      <c r="Q4" s="36" t="s">
        <v>67</v>
      </c>
      <c r="R4" s="131" t="s">
        <v>49</v>
      </c>
      <c r="S4" s="36" t="s">
        <v>67</v>
      </c>
      <c r="T4" s="131" t="s">
        <v>49</v>
      </c>
      <c r="U4" s="36" t="s">
        <v>67</v>
      </c>
    </row>
    <row r="5" spans="1:21">
      <c r="A5" s="46"/>
      <c r="B5" s="122"/>
      <c r="C5" s="128"/>
      <c r="D5" s="39"/>
      <c r="E5" s="1"/>
      <c r="F5" s="122"/>
      <c r="G5" s="128"/>
      <c r="H5" s="39"/>
      <c r="I5" s="32"/>
      <c r="J5" s="122"/>
      <c r="K5" s="128"/>
      <c r="L5" s="39"/>
      <c r="M5" s="86"/>
      <c r="N5" s="122"/>
      <c r="O5" s="86"/>
      <c r="P5" s="122"/>
      <c r="Q5" s="86"/>
      <c r="R5" s="122"/>
      <c r="S5" s="86"/>
      <c r="T5" s="122"/>
      <c r="U5" s="86"/>
    </row>
    <row r="6" spans="1:21">
      <c r="A6" s="3" t="s">
        <v>0</v>
      </c>
      <c r="B6" s="123">
        <v>53895011.599999994</v>
      </c>
      <c r="C6" s="129">
        <v>5.04</v>
      </c>
      <c r="D6" s="86">
        <v>53099328.600000009</v>
      </c>
      <c r="E6" s="91">
        <v>4.95</v>
      </c>
      <c r="F6" s="123">
        <v>50631079.600000001</v>
      </c>
      <c r="G6" s="129">
        <v>4.76</v>
      </c>
      <c r="H6" s="86">
        <v>46476414.299999997</v>
      </c>
      <c r="I6" s="91">
        <v>4.51</v>
      </c>
      <c r="J6" s="123">
        <v>44958492.700000003</v>
      </c>
      <c r="K6" s="129">
        <v>4.41</v>
      </c>
      <c r="L6" s="86">
        <v>44789297.600000001</v>
      </c>
      <c r="M6" s="91">
        <v>4.34</v>
      </c>
      <c r="N6" s="123">
        <v>46597784.000000007</v>
      </c>
      <c r="O6" s="91">
        <v>4.32</v>
      </c>
      <c r="P6" s="123">
        <v>47581708.068228878</v>
      </c>
      <c r="Q6" s="91">
        <v>4.2699999999999996</v>
      </c>
      <c r="R6" s="123">
        <v>49386277.966709636</v>
      </c>
      <c r="S6" s="91">
        <v>4.25</v>
      </c>
      <c r="T6" s="123">
        <v>50660321.10648293</v>
      </c>
      <c r="U6" s="91">
        <v>4.21</v>
      </c>
    </row>
    <row r="7" spans="1:21">
      <c r="A7" s="72" t="s">
        <v>1</v>
      </c>
      <c r="B7" s="124">
        <v>2473718.6999999997</v>
      </c>
      <c r="C7" s="130">
        <v>0.23133503160410837</v>
      </c>
      <c r="D7" s="37">
        <v>2225936.1</v>
      </c>
      <c r="E7" s="92">
        <v>0.20750605243360504</v>
      </c>
      <c r="F7" s="124">
        <v>2211085</v>
      </c>
      <c r="G7" s="130">
        <v>0.20785503913935716</v>
      </c>
      <c r="H7" s="37">
        <v>1818343</v>
      </c>
      <c r="I7" s="92">
        <v>0.17634999161089285</v>
      </c>
      <c r="J7" s="124">
        <v>1803317.1</v>
      </c>
      <c r="K7" s="130">
        <v>0.17673549612485154</v>
      </c>
      <c r="L7" s="37">
        <v>1783498.7</v>
      </c>
      <c r="M7" s="92">
        <v>0.17279318670203592</v>
      </c>
      <c r="N7" s="124">
        <v>1864189</v>
      </c>
      <c r="O7" s="92">
        <v>0.17299613025362151</v>
      </c>
      <c r="P7" s="124">
        <v>1956076.7639999995</v>
      </c>
      <c r="Q7" s="92">
        <v>0.17561559685412623</v>
      </c>
      <c r="R7" s="124">
        <v>2005739.4599999997</v>
      </c>
      <c r="S7" s="92">
        <v>0.17262909358813919</v>
      </c>
      <c r="T7" s="124">
        <v>1934673.1210000003</v>
      </c>
      <c r="U7" s="92">
        <v>0.16065497861308495</v>
      </c>
    </row>
    <row r="8" spans="1:21">
      <c r="A8" s="5" t="s">
        <v>98</v>
      </c>
      <c r="B8" s="124">
        <v>2633408.7999999998</v>
      </c>
      <c r="C8" s="130">
        <v>0.24626878875699859</v>
      </c>
      <c r="D8" s="37">
        <v>3034445.6</v>
      </c>
      <c r="E8" s="92">
        <v>0.28287686595339462</v>
      </c>
      <c r="F8" s="124">
        <v>2592288</v>
      </c>
      <c r="G8" s="130">
        <v>0.24369037088148393</v>
      </c>
      <c r="H8" s="37">
        <v>1959647</v>
      </c>
      <c r="I8" s="92">
        <v>0.19005420430045999</v>
      </c>
      <c r="J8" s="124">
        <v>1772145.7</v>
      </c>
      <c r="K8" s="130">
        <v>0.17368051880338864</v>
      </c>
      <c r="L8" s="37">
        <v>1946888.5</v>
      </c>
      <c r="M8" s="92">
        <v>0.18862310809004049</v>
      </c>
      <c r="N8" s="124">
        <v>2109349.4</v>
      </c>
      <c r="O8" s="92">
        <v>0.19574693529078777</v>
      </c>
      <c r="P8" s="124">
        <v>2238815.4819999998</v>
      </c>
      <c r="Q8" s="92">
        <v>0.20099973802341448</v>
      </c>
      <c r="R8" s="124">
        <v>2318518.2799999998</v>
      </c>
      <c r="S8" s="92">
        <v>0.19954920223982206</v>
      </c>
      <c r="T8" s="124">
        <v>2212567.821</v>
      </c>
      <c r="U8" s="92">
        <v>0.18373131466209838</v>
      </c>
    </row>
    <row r="9" spans="1:21">
      <c r="A9" s="5" t="s">
        <v>99</v>
      </c>
      <c r="B9" s="124">
        <v>2139053.7999999998</v>
      </c>
      <c r="C9" s="130">
        <v>0.20003813627874831</v>
      </c>
      <c r="D9" s="37">
        <v>2034410</v>
      </c>
      <c r="E9" s="92">
        <v>0.18965162033692268</v>
      </c>
      <c r="F9" s="124">
        <v>1925619</v>
      </c>
      <c r="G9" s="130">
        <v>0.18101955040737458</v>
      </c>
      <c r="H9" s="37">
        <v>1700046</v>
      </c>
      <c r="I9" s="92">
        <v>0.1648770874571695</v>
      </c>
      <c r="J9" s="124">
        <v>1540480</v>
      </c>
      <c r="K9" s="130">
        <v>0.15097594154151328</v>
      </c>
      <c r="L9" s="37">
        <v>1699855.2</v>
      </c>
      <c r="M9" s="92">
        <v>0.16468943708230716</v>
      </c>
      <c r="N9" s="124">
        <v>1801536.5999999999</v>
      </c>
      <c r="O9" s="92">
        <v>0.16718200799933183</v>
      </c>
      <c r="P9" s="124">
        <v>1882052.8589999995</v>
      </c>
      <c r="Q9" s="92">
        <v>0.16896976756087045</v>
      </c>
      <c r="R9" s="124">
        <v>1924681.7599999998</v>
      </c>
      <c r="S9" s="92">
        <v>0.16565265544230975</v>
      </c>
      <c r="T9" s="124">
        <v>1848440.1410000001</v>
      </c>
      <c r="U9" s="92">
        <v>0.15349420431624566</v>
      </c>
    </row>
    <row r="10" spans="1:21">
      <c r="A10" s="69" t="s">
        <v>81</v>
      </c>
      <c r="B10" s="124">
        <v>334664.90000000002</v>
      </c>
      <c r="C10" s="130">
        <v>3.129689532536007E-2</v>
      </c>
      <c r="D10" s="37">
        <v>191526.1</v>
      </c>
      <c r="E10" s="92">
        <v>1.7854432096682325E-2</v>
      </c>
      <c r="F10" s="124">
        <v>285466</v>
      </c>
      <c r="G10" s="130">
        <v>2.6835488731982594E-2</v>
      </c>
      <c r="H10" s="37">
        <v>118297</v>
      </c>
      <c r="I10" s="92">
        <v>1.1472904153723356E-2</v>
      </c>
      <c r="J10" s="124">
        <v>262837.09999999998</v>
      </c>
      <c r="K10" s="130">
        <v>2.5759554583338229E-2</v>
      </c>
      <c r="L10" s="37">
        <v>83643.5</v>
      </c>
      <c r="M10" s="92">
        <v>8.1037496197287635E-3</v>
      </c>
      <c r="N10" s="124">
        <v>62652.400000000023</v>
      </c>
      <c r="O10" s="92">
        <v>5.8141222542896671E-3</v>
      </c>
      <c r="P10" s="124">
        <v>74023.904999999912</v>
      </c>
      <c r="Q10" s="92">
        <v>6.6458292932557563E-3</v>
      </c>
      <c r="R10" s="124">
        <v>81057.699999999953</v>
      </c>
      <c r="S10" s="92">
        <v>6.9764381458294212E-3</v>
      </c>
      <c r="T10" s="124">
        <v>86232.980000000098</v>
      </c>
      <c r="U10" s="92">
        <v>7.1607742968392615E-3</v>
      </c>
    </row>
    <row r="11" spans="1:21">
      <c r="A11" s="72" t="s">
        <v>50</v>
      </c>
      <c r="B11" s="124">
        <v>46026173.899999999</v>
      </c>
      <c r="C11" s="130">
        <v>4.3042349131179254</v>
      </c>
      <c r="D11" s="37">
        <v>45078325.200000003</v>
      </c>
      <c r="E11" s="92">
        <v>4.2022883372843891</v>
      </c>
      <c r="F11" s="124">
        <v>42958189.399999999</v>
      </c>
      <c r="G11" s="130">
        <v>4.0383233295386285</v>
      </c>
      <c r="H11" s="37">
        <v>39659662.299999997</v>
      </c>
      <c r="I11" s="92">
        <v>3.8463486338363237</v>
      </c>
      <c r="J11" s="124">
        <v>38556012.5</v>
      </c>
      <c r="K11" s="130">
        <v>3.7787120178605731</v>
      </c>
      <c r="L11" s="37">
        <v>38243835.5</v>
      </c>
      <c r="M11" s="92">
        <v>3.7052307398673454</v>
      </c>
      <c r="N11" s="124">
        <v>39798270.800000004</v>
      </c>
      <c r="O11" s="92">
        <v>3.6932665299418148</v>
      </c>
      <c r="P11" s="124">
        <v>40602639.94422888</v>
      </c>
      <c r="Q11" s="92">
        <v>3.6452847755717945</v>
      </c>
      <c r="R11" s="124">
        <v>42355937.880729638</v>
      </c>
      <c r="S11" s="92">
        <v>3.6454720616733973</v>
      </c>
      <c r="T11" s="124">
        <v>43545082.372412927</v>
      </c>
      <c r="U11" s="92">
        <v>3.6159773975817906</v>
      </c>
    </row>
    <row r="12" spans="1:21">
      <c r="A12" s="69" t="s">
        <v>92</v>
      </c>
      <c r="B12" s="124">
        <v>44171785.600000001</v>
      </c>
      <c r="C12" s="130">
        <v>4.1308178726165998</v>
      </c>
      <c r="D12" s="37">
        <v>43405933</v>
      </c>
      <c r="E12" s="92">
        <v>4.046384713841312</v>
      </c>
      <c r="F12" s="124">
        <v>41924885</v>
      </c>
      <c r="G12" s="130">
        <v>3.941186617695859</v>
      </c>
      <c r="H12" s="37">
        <v>38455725</v>
      </c>
      <c r="I12" s="92">
        <v>3.7295861018195149</v>
      </c>
      <c r="J12" s="124">
        <v>37883066.100000001</v>
      </c>
      <c r="K12" s="130">
        <v>3.7127593820931688</v>
      </c>
      <c r="L12" s="37">
        <v>37554312.600000001</v>
      </c>
      <c r="M12" s="92">
        <v>3.6384267331164417</v>
      </c>
      <c r="N12" s="124">
        <v>39110431.600000001</v>
      </c>
      <c r="O12" s="92">
        <v>3.629435276867826</v>
      </c>
      <c r="P12" s="124">
        <v>39894386.305228882</v>
      </c>
      <c r="Q12" s="92">
        <v>3.5816981168955038</v>
      </c>
      <c r="R12" s="124">
        <v>41385191.134509638</v>
      </c>
      <c r="S12" s="92">
        <v>3.5619222615893955</v>
      </c>
      <c r="T12" s="124">
        <v>42596256.040302925</v>
      </c>
      <c r="U12" s="92">
        <v>3.5371869949871266</v>
      </c>
    </row>
    <row r="13" spans="1:21">
      <c r="A13" s="69" t="s">
        <v>93</v>
      </c>
      <c r="B13" s="124">
        <v>1854388.3</v>
      </c>
      <c r="C13" s="130">
        <v>0.17341704050132653</v>
      </c>
      <c r="D13" s="37">
        <v>1672392.2</v>
      </c>
      <c r="E13" s="92">
        <v>0.15590362344307729</v>
      </c>
      <c r="F13" s="124">
        <v>1033304.3999999999</v>
      </c>
      <c r="G13" s="130">
        <v>9.713671184276948E-2</v>
      </c>
      <c r="H13" s="37">
        <v>1203937.3</v>
      </c>
      <c r="I13" s="92">
        <v>0.11676253201680926</v>
      </c>
      <c r="J13" s="124">
        <v>672946.4</v>
      </c>
      <c r="K13" s="130">
        <v>6.5952635767404844E-2</v>
      </c>
      <c r="L13" s="37">
        <v>689522.9</v>
      </c>
      <c r="M13" s="92">
        <v>6.6804006750904421E-2</v>
      </c>
      <c r="N13" s="124">
        <v>687839.2</v>
      </c>
      <c r="O13" s="92">
        <v>6.383125307398918E-2</v>
      </c>
      <c r="P13" s="124">
        <v>708253.63900000008</v>
      </c>
      <c r="Q13" s="92">
        <v>6.3586658676291041E-2</v>
      </c>
      <c r="R13" s="124">
        <v>970746.74621999997</v>
      </c>
      <c r="S13" s="92">
        <v>8.3549800084001938E-2</v>
      </c>
      <c r="T13" s="124">
        <v>948826.33211000008</v>
      </c>
      <c r="U13" s="92">
        <v>7.879040259466337E-2</v>
      </c>
    </row>
    <row r="14" spans="1:21">
      <c r="A14" s="72" t="s">
        <v>2</v>
      </c>
      <c r="B14" s="124">
        <v>2725988.4</v>
      </c>
      <c r="C14" s="130">
        <v>0.25492656568688787</v>
      </c>
      <c r="D14" s="37">
        <v>3037631</v>
      </c>
      <c r="E14" s="92">
        <v>0.28317381507939243</v>
      </c>
      <c r="F14" s="124">
        <v>2738038</v>
      </c>
      <c r="G14" s="130">
        <v>0.25739173105287549</v>
      </c>
      <c r="H14" s="37">
        <v>2490711</v>
      </c>
      <c r="I14" s="92">
        <v>0.24155886098231111</v>
      </c>
      <c r="J14" s="124">
        <v>2353616.1</v>
      </c>
      <c r="K14" s="130">
        <v>0.23066797798398192</v>
      </c>
      <c r="L14" s="37">
        <v>2346500.5</v>
      </c>
      <c r="M14" s="92">
        <v>0.22733927363833831</v>
      </c>
      <c r="N14" s="124">
        <v>2395280.4999999995</v>
      </c>
      <c r="O14" s="92">
        <v>0.22228124797000709</v>
      </c>
      <c r="P14" s="124">
        <v>2502273.1</v>
      </c>
      <c r="Q14" s="92">
        <v>0.22465283164547872</v>
      </c>
      <c r="R14" s="124">
        <v>2517568</v>
      </c>
      <c r="S14" s="92">
        <v>0.21668092519180154</v>
      </c>
      <c r="T14" s="124">
        <v>2644767.1999999997</v>
      </c>
      <c r="U14" s="92">
        <v>0.21962108913415168</v>
      </c>
    </row>
    <row r="15" spans="1:21">
      <c r="A15" s="73" t="s">
        <v>3</v>
      </c>
      <c r="B15" s="125"/>
      <c r="C15" s="130"/>
      <c r="D15" s="39"/>
      <c r="E15" s="92"/>
      <c r="F15" s="125"/>
      <c r="G15" s="130"/>
      <c r="H15" s="32"/>
      <c r="I15" s="92"/>
      <c r="J15" s="125"/>
      <c r="K15" s="130"/>
      <c r="L15" s="37"/>
      <c r="M15" s="92"/>
      <c r="N15" s="124"/>
      <c r="O15" s="92"/>
      <c r="P15" s="124"/>
      <c r="Q15" s="92"/>
      <c r="R15" s="124"/>
      <c r="S15" s="92"/>
      <c r="T15" s="124"/>
      <c r="U15" s="92"/>
    </row>
    <row r="16" spans="1:21">
      <c r="A16" s="69" t="s">
        <v>82</v>
      </c>
      <c r="B16" s="124">
        <v>4791000</v>
      </c>
      <c r="C16" s="130">
        <v>0.4480404891693156</v>
      </c>
      <c r="D16" s="37">
        <v>4837000</v>
      </c>
      <c r="E16" s="92">
        <v>0.45091446049208128</v>
      </c>
      <c r="F16" s="124">
        <v>4753000</v>
      </c>
      <c r="G16" s="130">
        <v>0.44681005073498514</v>
      </c>
      <c r="H16" s="37">
        <v>4668000</v>
      </c>
      <c r="I16" s="92">
        <v>0.45272083475980479</v>
      </c>
      <c r="J16" s="124">
        <v>4433000</v>
      </c>
      <c r="K16" s="130">
        <v>0.43445961573894393</v>
      </c>
      <c r="L16" s="37">
        <v>4464000</v>
      </c>
      <c r="M16" s="92">
        <v>0.43249192468594921</v>
      </c>
      <c r="N16" s="124">
        <v>4536000</v>
      </c>
      <c r="O16" s="92">
        <v>0.42093931829359954</v>
      </c>
      <c r="P16" s="124">
        <v>4487000</v>
      </c>
      <c r="Q16" s="92">
        <v>0.40284062342885874</v>
      </c>
      <c r="R16" s="124">
        <v>4443000</v>
      </c>
      <c r="S16" s="92">
        <v>0.38239815195743443</v>
      </c>
      <c r="T16" s="124">
        <v>4445000</v>
      </c>
      <c r="U16" s="92">
        <v>0.36911216276476222</v>
      </c>
    </row>
    <row r="17" spans="1:21">
      <c r="A17" s="73" t="s">
        <v>4</v>
      </c>
      <c r="B17" s="125"/>
      <c r="C17" s="130"/>
      <c r="D17" s="39"/>
      <c r="E17" s="92"/>
      <c r="F17" s="125"/>
      <c r="G17" s="130"/>
      <c r="H17" s="32"/>
      <c r="I17" s="92"/>
      <c r="J17" s="125"/>
      <c r="K17" s="130"/>
      <c r="L17" s="32"/>
      <c r="M17" s="92"/>
      <c r="N17" s="132"/>
      <c r="O17" s="92"/>
      <c r="P17" s="132"/>
      <c r="Q17" s="92"/>
      <c r="R17" s="132"/>
      <c r="S17" s="92"/>
      <c r="T17" s="132"/>
      <c r="U17" s="92"/>
    </row>
    <row r="18" spans="1:21">
      <c r="A18" s="69" t="s">
        <v>83</v>
      </c>
      <c r="B18" s="124">
        <v>-610790.69999999995</v>
      </c>
      <c r="C18" s="130">
        <v>-5.7119383011494183E-2</v>
      </c>
      <c r="D18" s="37">
        <v>-568780.30000000005</v>
      </c>
      <c r="E18" s="92">
        <v>-5.3022795557788736E-2</v>
      </c>
      <c r="F18" s="124">
        <v>-484815.8</v>
      </c>
      <c r="G18" s="130">
        <v>-4.557554643280505E-2</v>
      </c>
      <c r="H18" s="37">
        <v>-388240</v>
      </c>
      <c r="I18" s="92">
        <v>-3.7653028467683508E-2</v>
      </c>
      <c r="J18" s="124">
        <v>-353210</v>
      </c>
      <c r="K18" s="130">
        <v>-3.4616620995973922E-2</v>
      </c>
      <c r="L18" s="37">
        <v>-305897.59999999998</v>
      </c>
      <c r="M18" s="92">
        <v>-2.963670290788813E-2</v>
      </c>
      <c r="N18" s="124">
        <v>-211544.9</v>
      </c>
      <c r="O18" s="92">
        <v>-1.9631297617832385E-2</v>
      </c>
      <c r="P18" s="124">
        <v>-211218.92</v>
      </c>
      <c r="Q18" s="92">
        <v>-1.8963129354305826E-2</v>
      </c>
      <c r="R18" s="124">
        <v>-221473.81699999995</v>
      </c>
      <c r="S18" s="92">
        <v>-1.9061710179554131E-2</v>
      </c>
      <c r="T18" s="124">
        <v>-244172.60623999999</v>
      </c>
      <c r="U18" s="92">
        <v>-2.0276058217582694E-2</v>
      </c>
    </row>
    <row r="19" spans="1:21">
      <c r="A19" s="69" t="s">
        <v>84</v>
      </c>
      <c r="B19" s="124">
        <v>-1511078.7</v>
      </c>
      <c r="C19" s="130">
        <v>-0.14131171778779655</v>
      </c>
      <c r="D19" s="37">
        <v>-1510783.4</v>
      </c>
      <c r="E19" s="92">
        <v>-0.14083813970051523</v>
      </c>
      <c r="F19" s="124">
        <v>-1544417</v>
      </c>
      <c r="G19" s="130">
        <v>-0.14518431267114948</v>
      </c>
      <c r="H19" s="37">
        <v>-1772062</v>
      </c>
      <c r="I19" s="92">
        <v>-0.17186147983850242</v>
      </c>
      <c r="J19" s="124">
        <v>-1834243</v>
      </c>
      <c r="K19" s="130">
        <v>-0.17976641302771212</v>
      </c>
      <c r="L19" s="37">
        <v>-1742639.5</v>
      </c>
      <c r="M19" s="92">
        <v>-0.16883456796343194</v>
      </c>
      <c r="N19" s="124">
        <v>-1784411.4000000001</v>
      </c>
      <c r="O19" s="92">
        <v>-0.1655927950333615</v>
      </c>
      <c r="P19" s="124">
        <v>-1755062.8199999998</v>
      </c>
      <c r="Q19" s="92">
        <v>-0.15756866515837104</v>
      </c>
      <c r="R19" s="124">
        <v>-1714493.5570199999</v>
      </c>
      <c r="S19" s="92">
        <v>-0.14756227048106602</v>
      </c>
      <c r="T19" s="124">
        <v>-1665028.9806900003</v>
      </c>
      <c r="U19" s="92">
        <v>-0.13826376785792879</v>
      </c>
    </row>
    <row r="20" spans="1:21">
      <c r="A20" s="4"/>
      <c r="B20" s="38"/>
      <c r="C20" s="4"/>
      <c r="D20" s="4"/>
      <c r="E20" s="4"/>
      <c r="F20" s="4"/>
      <c r="G20" s="4"/>
      <c r="H20" s="32"/>
      <c r="I20" s="32"/>
      <c r="J20" s="32"/>
      <c r="K20" s="32"/>
      <c r="L20" s="32"/>
      <c r="M20" s="32"/>
      <c r="T20" s="174">
        <f>T6-T16-T18-T19</f>
        <v>48124522.69341293</v>
      </c>
    </row>
    <row r="21" spans="1:21">
      <c r="A21" s="74" t="s">
        <v>109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U21"/>
  <sheetViews>
    <sheetView zoomScaleNormal="100" workbookViewId="0"/>
  </sheetViews>
  <sheetFormatPr baseColWidth="10" defaultRowHeight="12.75"/>
  <cols>
    <col min="1" max="1" width="32" customWidth="1"/>
    <col min="3" max="3" width="7.7109375" bestFit="1" customWidth="1"/>
    <col min="5" max="5" width="7.7109375" bestFit="1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</cols>
  <sheetData>
    <row r="1" spans="1:21">
      <c r="A1" s="35" t="s">
        <v>125</v>
      </c>
      <c r="B1" s="1"/>
      <c r="C1" s="1"/>
      <c r="D1" s="39"/>
      <c r="E1" s="1"/>
      <c r="F1" s="1"/>
      <c r="G1" s="1"/>
      <c r="H1" s="32"/>
      <c r="I1" s="32"/>
      <c r="J1" s="32"/>
      <c r="K1" s="32"/>
      <c r="L1" s="1"/>
      <c r="M1" s="1"/>
    </row>
    <row r="2" spans="1:21" ht="13.5" thickBot="1">
      <c r="A2" s="30"/>
      <c r="B2" s="33"/>
      <c r="C2" s="33"/>
      <c r="D2" s="40"/>
      <c r="E2" s="1"/>
      <c r="F2" s="33"/>
      <c r="G2" s="45"/>
      <c r="H2" s="32"/>
      <c r="I2" s="32"/>
      <c r="J2" s="32"/>
      <c r="K2" s="32"/>
      <c r="L2" s="32"/>
      <c r="M2" s="32"/>
    </row>
    <row r="3" spans="1:21">
      <c r="A3" s="165"/>
      <c r="B3" s="43">
        <v>2009</v>
      </c>
      <c r="C3" s="44"/>
      <c r="D3" s="120">
        <v>2010</v>
      </c>
      <c r="E3" s="126"/>
      <c r="F3" s="43">
        <v>2011</v>
      </c>
      <c r="G3" s="44"/>
      <c r="H3" s="120">
        <v>2012</v>
      </c>
      <c r="I3" s="126"/>
      <c r="J3" s="43">
        <v>2013</v>
      </c>
      <c r="K3" s="167"/>
      <c r="L3" s="43">
        <v>2014</v>
      </c>
      <c r="M3" s="44"/>
      <c r="N3" s="120">
        <v>2015</v>
      </c>
      <c r="O3" s="167"/>
      <c r="P3" s="120">
        <v>2016</v>
      </c>
      <c r="Q3" s="167"/>
      <c r="R3" s="120">
        <v>2017</v>
      </c>
      <c r="S3" s="167"/>
      <c r="T3" s="120">
        <v>2018</v>
      </c>
      <c r="U3" s="167"/>
    </row>
    <row r="4" spans="1:21" ht="18">
      <c r="A4" s="166"/>
      <c r="B4" s="121" t="s">
        <v>49</v>
      </c>
      <c r="C4" s="127" t="s">
        <v>67</v>
      </c>
      <c r="D4" s="41" t="s">
        <v>49</v>
      </c>
      <c r="E4" s="36" t="s">
        <v>67</v>
      </c>
      <c r="F4" s="121" t="s">
        <v>49</v>
      </c>
      <c r="G4" s="127" t="s">
        <v>67</v>
      </c>
      <c r="H4" s="41" t="s">
        <v>49</v>
      </c>
      <c r="I4" s="36" t="s">
        <v>67</v>
      </c>
      <c r="J4" s="121" t="s">
        <v>49</v>
      </c>
      <c r="K4" s="127" t="s">
        <v>67</v>
      </c>
      <c r="L4" s="41" t="s">
        <v>49</v>
      </c>
      <c r="M4" s="36" t="s">
        <v>67</v>
      </c>
      <c r="N4" s="131" t="s">
        <v>49</v>
      </c>
      <c r="O4" s="127" t="s">
        <v>67</v>
      </c>
      <c r="P4" s="131" t="s">
        <v>49</v>
      </c>
      <c r="Q4" s="127" t="s">
        <v>67</v>
      </c>
      <c r="R4" s="131" t="s">
        <v>49</v>
      </c>
      <c r="S4" s="127" t="s">
        <v>67</v>
      </c>
      <c r="T4" s="131" t="s">
        <v>49</v>
      </c>
      <c r="U4" s="127" t="s">
        <v>67</v>
      </c>
    </row>
    <row r="5" spans="1:21">
      <c r="A5" s="46"/>
      <c r="B5" s="122"/>
      <c r="C5" s="128"/>
      <c r="D5" s="39"/>
      <c r="E5" s="1"/>
      <c r="F5" s="122"/>
      <c r="G5" s="128"/>
      <c r="H5" s="39"/>
      <c r="I5" s="32"/>
      <c r="J5" s="122"/>
      <c r="K5" s="128"/>
      <c r="L5" s="39"/>
      <c r="M5" s="86"/>
      <c r="N5" s="122"/>
      <c r="O5" s="168"/>
      <c r="P5" s="122"/>
      <c r="Q5" s="168"/>
      <c r="R5" s="122"/>
      <c r="S5" s="168"/>
      <c r="T5" s="122"/>
      <c r="U5" s="168"/>
    </row>
    <row r="6" spans="1:21">
      <c r="A6" s="3" t="s">
        <v>0</v>
      </c>
      <c r="B6" s="123">
        <v>53374924.299999997</v>
      </c>
      <c r="C6" s="129">
        <v>4.99</v>
      </c>
      <c r="D6" s="86">
        <v>52557675.700000003</v>
      </c>
      <c r="E6" s="91">
        <v>4.9000000000000004</v>
      </c>
      <c r="F6" s="123">
        <v>50343946.5</v>
      </c>
      <c r="G6" s="129">
        <v>4.7300000000000004</v>
      </c>
      <c r="H6" s="86">
        <v>46215892.899999999</v>
      </c>
      <c r="I6" s="91">
        <v>4.4800000000000004</v>
      </c>
      <c r="J6" s="123">
        <v>44475395.900000006</v>
      </c>
      <c r="K6" s="129">
        <v>4.3600000000000003</v>
      </c>
      <c r="L6" s="86">
        <v>44461690.5</v>
      </c>
      <c r="M6" s="91">
        <v>4.3099999999999996</v>
      </c>
      <c r="N6" s="123">
        <v>46262399.800000012</v>
      </c>
      <c r="O6" s="129">
        <v>4.29</v>
      </c>
      <c r="P6" s="123">
        <v>47192045.73613888</v>
      </c>
      <c r="Q6" s="129">
        <v>4.24</v>
      </c>
      <c r="R6" s="123">
        <v>48908164.45535963</v>
      </c>
      <c r="S6" s="129">
        <v>4.21</v>
      </c>
      <c r="T6" s="123">
        <v>50430116.246017143</v>
      </c>
      <c r="U6" s="129">
        <v>4.1900000000000004</v>
      </c>
    </row>
    <row r="7" spans="1:21">
      <c r="A7" s="72" t="s">
        <v>1</v>
      </c>
      <c r="B7" s="124">
        <v>2310933.9</v>
      </c>
      <c r="C7" s="130">
        <v>0.22</v>
      </c>
      <c r="D7" s="37">
        <v>2026534.7</v>
      </c>
      <c r="E7" s="92">
        <v>0.19</v>
      </c>
      <c r="F7" s="124">
        <v>2200934.9</v>
      </c>
      <c r="G7" s="130">
        <v>0.21</v>
      </c>
      <c r="H7" s="37">
        <v>1813024.1</v>
      </c>
      <c r="I7" s="92">
        <v>0.18</v>
      </c>
      <c r="J7" s="124">
        <v>1798638</v>
      </c>
      <c r="K7" s="130">
        <v>0.18</v>
      </c>
      <c r="L7" s="37">
        <v>1778831.6</v>
      </c>
      <c r="M7" s="92">
        <v>0.17</v>
      </c>
      <c r="N7" s="124">
        <v>1784361.5999999999</v>
      </c>
      <c r="O7" s="130">
        <v>0.17</v>
      </c>
      <c r="P7" s="124">
        <v>1754356.8689999995</v>
      </c>
      <c r="Q7" s="130">
        <v>0.16</v>
      </c>
      <c r="R7" s="124">
        <v>1790224.7359999998</v>
      </c>
      <c r="S7" s="130">
        <v>0.15</v>
      </c>
      <c r="T7" s="124">
        <v>1884162.7130000002</v>
      </c>
      <c r="U7" s="130">
        <v>0.16</v>
      </c>
    </row>
    <row r="8" spans="1:21">
      <c r="A8" s="5" t="s">
        <v>98</v>
      </c>
      <c r="B8" s="124">
        <v>2470638.2999999998</v>
      </c>
      <c r="C8" s="130">
        <v>0.23</v>
      </c>
      <c r="D8" s="37">
        <v>2328833.4</v>
      </c>
      <c r="E8" s="92">
        <v>0.22</v>
      </c>
      <c r="F8" s="124">
        <v>2406454.9</v>
      </c>
      <c r="G8" s="130">
        <v>0.23</v>
      </c>
      <c r="H8" s="37">
        <v>1954335</v>
      </c>
      <c r="I8" s="92">
        <v>0.19</v>
      </c>
      <c r="J8" s="124">
        <v>1767472.7</v>
      </c>
      <c r="K8" s="130">
        <v>0.17</v>
      </c>
      <c r="L8" s="37">
        <v>1942319.8</v>
      </c>
      <c r="M8" s="92">
        <v>0.19</v>
      </c>
      <c r="N8" s="124">
        <v>2029720.4</v>
      </c>
      <c r="O8" s="130">
        <v>0.19</v>
      </c>
      <c r="P8" s="124">
        <v>2037294.4819999998</v>
      </c>
      <c r="Q8" s="130">
        <v>0.18</v>
      </c>
      <c r="R8" s="124">
        <v>2103203.466</v>
      </c>
      <c r="S8" s="130">
        <v>0.18</v>
      </c>
      <c r="T8" s="124">
        <v>2162060.463</v>
      </c>
      <c r="U8" s="130">
        <v>0.18</v>
      </c>
    </row>
    <row r="9" spans="1:21">
      <c r="A9" s="5" t="s">
        <v>99</v>
      </c>
      <c r="B9" s="124">
        <v>1976283.2999999998</v>
      </c>
      <c r="C9" s="130">
        <v>0.18</v>
      </c>
      <c r="D9" s="37">
        <v>1835018.4</v>
      </c>
      <c r="E9" s="92">
        <v>0.17</v>
      </c>
      <c r="F9" s="124">
        <v>1915478.9</v>
      </c>
      <c r="G9" s="130">
        <v>0.18</v>
      </c>
      <c r="H9" s="37">
        <v>1694734</v>
      </c>
      <c r="I9" s="92">
        <v>0.16</v>
      </c>
      <c r="J9" s="124">
        <v>1535807</v>
      </c>
      <c r="K9" s="130">
        <v>0.15</v>
      </c>
      <c r="L9" s="37">
        <v>1695286.5</v>
      </c>
      <c r="M9" s="92">
        <v>0.16</v>
      </c>
      <c r="N9" s="124">
        <v>1721907.5999999999</v>
      </c>
      <c r="O9" s="130">
        <v>0.16</v>
      </c>
      <c r="P9" s="124">
        <v>1680531.8589999995</v>
      </c>
      <c r="Q9" s="130">
        <v>0.15</v>
      </c>
      <c r="R9" s="124">
        <v>1709366.9459999998</v>
      </c>
      <c r="S9" s="130">
        <v>0.15</v>
      </c>
      <c r="T9" s="124">
        <v>1797932.7830000001</v>
      </c>
      <c r="U9" s="130">
        <v>0.15</v>
      </c>
    </row>
    <row r="10" spans="1:21">
      <c r="A10" s="69" t="s">
        <v>81</v>
      </c>
      <c r="B10" s="124">
        <v>334650.60000000003</v>
      </c>
      <c r="C10" s="130">
        <v>0.03</v>
      </c>
      <c r="D10" s="37">
        <v>191516.30000000002</v>
      </c>
      <c r="E10" s="92">
        <v>0.02</v>
      </c>
      <c r="F10" s="124">
        <v>285456</v>
      </c>
      <c r="G10" s="130">
        <v>0.03</v>
      </c>
      <c r="H10" s="37">
        <v>118290.1</v>
      </c>
      <c r="I10" s="92">
        <v>0.01</v>
      </c>
      <c r="J10" s="124">
        <v>262831</v>
      </c>
      <c r="K10" s="130">
        <v>0.03</v>
      </c>
      <c r="L10" s="37">
        <v>83545.100000000006</v>
      </c>
      <c r="M10" s="92">
        <v>0.01</v>
      </c>
      <c r="N10" s="124">
        <v>62454.000000000022</v>
      </c>
      <c r="O10" s="130">
        <v>0.01</v>
      </c>
      <c r="P10" s="124">
        <v>73825.009999999907</v>
      </c>
      <c r="Q10" s="130">
        <v>0.01</v>
      </c>
      <c r="R10" s="124">
        <v>80857.78999999995</v>
      </c>
      <c r="S10" s="130">
        <v>0.01</v>
      </c>
      <c r="T10" s="124">
        <v>86229.930000000095</v>
      </c>
      <c r="U10" s="130">
        <v>0.01</v>
      </c>
    </row>
    <row r="11" spans="1:21">
      <c r="A11" s="72" t="s">
        <v>50</v>
      </c>
      <c r="B11" s="124">
        <v>45669821.400000006</v>
      </c>
      <c r="C11" s="130">
        <v>4.2699999999999996</v>
      </c>
      <c r="D11" s="37">
        <v>44737749.399999999</v>
      </c>
      <c r="E11" s="92">
        <v>4.17</v>
      </c>
      <c r="F11" s="124">
        <v>42686519.5</v>
      </c>
      <c r="G11" s="130">
        <v>4.01</v>
      </c>
      <c r="H11" s="37">
        <v>39406405</v>
      </c>
      <c r="I11" s="92">
        <v>3.82</v>
      </c>
      <c r="J11" s="124">
        <v>38080190.300000004</v>
      </c>
      <c r="K11" s="130">
        <v>3.73</v>
      </c>
      <c r="L11" s="37">
        <v>37922129.100000001</v>
      </c>
      <c r="M11" s="92">
        <v>3.67</v>
      </c>
      <c r="N11" s="124">
        <v>39544717.900000006</v>
      </c>
      <c r="O11" s="130">
        <v>3.67</v>
      </c>
      <c r="P11" s="124">
        <v>40415372.10713888</v>
      </c>
      <c r="Q11" s="130">
        <v>3.63</v>
      </c>
      <c r="R11" s="124">
        <v>42093816.793379635</v>
      </c>
      <c r="S11" s="130">
        <v>3.62</v>
      </c>
      <c r="T11" s="124">
        <v>43365832.41994714</v>
      </c>
      <c r="U11" s="130">
        <v>3.6</v>
      </c>
    </row>
    <row r="12" spans="1:21">
      <c r="A12" s="69" t="s">
        <v>92</v>
      </c>
      <c r="B12" s="124">
        <v>43815450.300000004</v>
      </c>
      <c r="C12" s="130">
        <v>4.0999999999999996</v>
      </c>
      <c r="D12" s="37">
        <v>43065374.100000001</v>
      </c>
      <c r="E12" s="92">
        <v>4.01</v>
      </c>
      <c r="F12" s="124">
        <v>41653220</v>
      </c>
      <c r="G12" s="130">
        <v>3.92</v>
      </c>
      <c r="H12" s="37">
        <v>38202480</v>
      </c>
      <c r="I12" s="92">
        <v>3.71</v>
      </c>
      <c r="J12" s="124">
        <v>37407336.100000001</v>
      </c>
      <c r="K12" s="130">
        <v>3.67</v>
      </c>
      <c r="L12" s="37">
        <v>37232638.100000001</v>
      </c>
      <c r="M12" s="92">
        <v>3.61</v>
      </c>
      <c r="N12" s="124">
        <v>38858127.200000003</v>
      </c>
      <c r="O12" s="130">
        <v>3.61</v>
      </c>
      <c r="P12" s="124">
        <v>39707174.788138881</v>
      </c>
      <c r="Q12" s="130">
        <v>3.56</v>
      </c>
      <c r="R12" s="124">
        <v>41123093.967159636</v>
      </c>
      <c r="S12" s="130">
        <v>3.54</v>
      </c>
      <c r="T12" s="124">
        <v>42417031.407837138</v>
      </c>
      <c r="U12" s="130">
        <v>3.52</v>
      </c>
    </row>
    <row r="13" spans="1:21">
      <c r="A13" s="69" t="s">
        <v>93</v>
      </c>
      <c r="B13" s="124">
        <v>1854371.1</v>
      </c>
      <c r="C13" s="130">
        <v>0.17</v>
      </c>
      <c r="D13" s="37">
        <v>1672375.3</v>
      </c>
      <c r="E13" s="92">
        <v>0.16</v>
      </c>
      <c r="F13" s="124">
        <v>1033299.4999999999</v>
      </c>
      <c r="G13" s="130">
        <v>0.1</v>
      </c>
      <c r="H13" s="37">
        <v>1203925</v>
      </c>
      <c r="I13" s="92">
        <v>0.12</v>
      </c>
      <c r="J13" s="124">
        <v>672854.20000000007</v>
      </c>
      <c r="K13" s="130">
        <v>7.0000000000000007E-2</v>
      </c>
      <c r="L13" s="37">
        <v>689491</v>
      </c>
      <c r="M13" s="92">
        <v>7.0000000000000007E-2</v>
      </c>
      <c r="N13" s="124">
        <v>686590.7</v>
      </c>
      <c r="O13" s="130">
        <v>0.06</v>
      </c>
      <c r="P13" s="124">
        <v>708197.31900000013</v>
      </c>
      <c r="Q13" s="130">
        <v>0.06</v>
      </c>
      <c r="R13" s="124">
        <v>970722.82621999993</v>
      </c>
      <c r="S13" s="130">
        <v>0.08</v>
      </c>
      <c r="T13" s="124">
        <v>948801.01211000013</v>
      </c>
      <c r="U13" s="130">
        <v>0.08</v>
      </c>
    </row>
    <row r="14" spans="1:21">
      <c r="A14" s="72" t="s">
        <v>2</v>
      </c>
      <c r="B14" s="124">
        <v>2725038.4</v>
      </c>
      <c r="C14" s="130">
        <v>0.25</v>
      </c>
      <c r="D14" s="37">
        <v>3035955.3</v>
      </c>
      <c r="E14" s="92">
        <v>0.28000000000000003</v>
      </c>
      <c r="F14" s="124">
        <v>2732725.9</v>
      </c>
      <c r="G14" s="130">
        <v>0.26</v>
      </c>
      <c r="H14" s="37">
        <v>2488766.7999999998</v>
      </c>
      <c r="I14" s="130">
        <v>0.24</v>
      </c>
      <c r="J14" s="37">
        <v>2351021.6</v>
      </c>
      <c r="K14" s="130">
        <v>0.23</v>
      </c>
      <c r="L14" s="37">
        <v>2345266.9</v>
      </c>
      <c r="M14" s="130">
        <v>0.23</v>
      </c>
      <c r="N14" s="37">
        <v>2393276.5999999996</v>
      </c>
      <c r="O14" s="130">
        <v>0.22</v>
      </c>
      <c r="P14" s="37">
        <v>2501598.5</v>
      </c>
      <c r="Q14" s="130">
        <v>0.22</v>
      </c>
      <c r="R14" s="37">
        <v>2517090.2999999998</v>
      </c>
      <c r="S14" s="130">
        <v>0.22</v>
      </c>
      <c r="T14" s="37">
        <v>2644322.6999999997</v>
      </c>
      <c r="U14" s="130">
        <v>0.22</v>
      </c>
    </row>
    <row r="15" spans="1:21">
      <c r="A15" s="73" t="s">
        <v>3</v>
      </c>
      <c r="B15" s="125"/>
      <c r="C15" s="130"/>
      <c r="D15" s="39"/>
      <c r="E15" s="92"/>
      <c r="F15" s="125"/>
      <c r="G15" s="130"/>
      <c r="H15" s="32"/>
      <c r="I15" s="92"/>
      <c r="J15" s="125"/>
      <c r="K15" s="130"/>
      <c r="L15" s="37"/>
      <c r="M15" s="92"/>
      <c r="N15" s="124"/>
      <c r="O15" s="130"/>
      <c r="P15" s="124"/>
      <c r="Q15" s="130"/>
      <c r="R15" s="124"/>
      <c r="S15" s="130"/>
      <c r="T15" s="124"/>
      <c r="U15" s="130"/>
    </row>
    <row r="16" spans="1:21">
      <c r="A16" s="69" t="s">
        <v>82</v>
      </c>
      <c r="B16" s="124">
        <v>4791000</v>
      </c>
      <c r="C16" s="130">
        <v>0.45</v>
      </c>
      <c r="D16" s="37">
        <v>4837000</v>
      </c>
      <c r="E16" s="92">
        <v>0.45</v>
      </c>
      <c r="F16" s="124">
        <v>4753000</v>
      </c>
      <c r="G16" s="130">
        <v>0.45</v>
      </c>
      <c r="H16" s="37">
        <v>4668000</v>
      </c>
      <c r="I16" s="92">
        <v>0.45</v>
      </c>
      <c r="J16" s="124">
        <v>4433000</v>
      </c>
      <c r="K16" s="130">
        <v>0.43</v>
      </c>
      <c r="L16" s="37">
        <v>4464000</v>
      </c>
      <c r="M16" s="92">
        <v>0.43</v>
      </c>
      <c r="N16" s="124">
        <v>4536000</v>
      </c>
      <c r="O16" s="130">
        <v>0.42</v>
      </c>
      <c r="P16" s="124">
        <v>4487000</v>
      </c>
      <c r="Q16" s="130">
        <v>0.4</v>
      </c>
      <c r="R16" s="124">
        <v>4443000</v>
      </c>
      <c r="S16" s="130">
        <v>0.38</v>
      </c>
      <c r="T16" s="124">
        <v>4445000</v>
      </c>
      <c r="U16" s="130">
        <v>0.37</v>
      </c>
    </row>
    <row r="17" spans="1:21">
      <c r="A17" s="73" t="s">
        <v>4</v>
      </c>
      <c r="B17" s="125"/>
      <c r="C17" s="130"/>
      <c r="D17" s="39"/>
      <c r="E17" s="92"/>
      <c r="F17" s="125"/>
      <c r="G17" s="130"/>
      <c r="H17" s="32"/>
      <c r="I17" s="92"/>
      <c r="J17" s="125"/>
      <c r="K17" s="130"/>
      <c r="L17" s="32"/>
      <c r="M17" s="92"/>
      <c r="N17" s="132"/>
      <c r="O17" s="130"/>
      <c r="P17" s="132"/>
      <c r="Q17" s="130"/>
      <c r="R17" s="132"/>
      <c r="S17" s="130"/>
      <c r="T17" s="132"/>
      <c r="U17" s="130"/>
    </row>
    <row r="18" spans="1:21">
      <c r="A18" s="69" t="s">
        <v>83</v>
      </c>
      <c r="B18" s="124">
        <v>-610790.69999999995</v>
      </c>
      <c r="C18" s="130">
        <v>-0.06</v>
      </c>
      <c r="D18" s="37">
        <v>-568780.30000000005</v>
      </c>
      <c r="E18" s="92">
        <v>-0.05</v>
      </c>
      <c r="F18" s="124">
        <v>-484815.8</v>
      </c>
      <c r="G18" s="130">
        <v>-0.05</v>
      </c>
      <c r="H18" s="37">
        <v>-388240</v>
      </c>
      <c r="I18" s="92">
        <v>-0.04</v>
      </c>
      <c r="J18" s="124">
        <v>-353210</v>
      </c>
      <c r="K18" s="130">
        <v>-0.03</v>
      </c>
      <c r="L18" s="37">
        <v>-305897.59999999998</v>
      </c>
      <c r="M18" s="92">
        <v>-0.03</v>
      </c>
      <c r="N18" s="124">
        <v>-211544.9</v>
      </c>
      <c r="O18" s="130">
        <v>-0.02</v>
      </c>
      <c r="P18" s="124">
        <v>-211218.92</v>
      </c>
      <c r="Q18" s="130">
        <v>-0.02</v>
      </c>
      <c r="R18" s="124">
        <v>-221473.81699999995</v>
      </c>
      <c r="S18" s="130">
        <v>-0.02</v>
      </c>
      <c r="T18" s="124">
        <v>-244172.60623999999</v>
      </c>
      <c r="U18" s="130">
        <v>-0.02</v>
      </c>
    </row>
    <row r="19" spans="1:21">
      <c r="A19" s="69" t="s">
        <v>84</v>
      </c>
      <c r="B19" s="124">
        <v>-1511078.7</v>
      </c>
      <c r="C19" s="130">
        <v>-0.14000000000000001</v>
      </c>
      <c r="D19" s="37">
        <v>-1510783.4</v>
      </c>
      <c r="E19" s="92">
        <v>-0.14000000000000001</v>
      </c>
      <c r="F19" s="124">
        <v>-1544417</v>
      </c>
      <c r="G19" s="130">
        <v>-0.15</v>
      </c>
      <c r="H19" s="37">
        <v>-1772062</v>
      </c>
      <c r="I19" s="92">
        <v>-0.17</v>
      </c>
      <c r="J19" s="124">
        <v>-1834243</v>
      </c>
      <c r="K19" s="130">
        <v>-0.18</v>
      </c>
      <c r="L19" s="37">
        <v>-1742639.5</v>
      </c>
      <c r="M19" s="92">
        <v>-0.17</v>
      </c>
      <c r="N19" s="124">
        <v>-1784411.4000000001</v>
      </c>
      <c r="O19" s="130">
        <v>-0.17</v>
      </c>
      <c r="P19" s="124">
        <v>-1755062.8199999998</v>
      </c>
      <c r="Q19" s="130">
        <v>-0.16</v>
      </c>
      <c r="R19" s="124">
        <v>-1714493.5570199999</v>
      </c>
      <c r="S19" s="130">
        <v>-0.15</v>
      </c>
      <c r="T19" s="124">
        <v>-1665028.9806900003</v>
      </c>
      <c r="U19" s="130">
        <v>-0.14000000000000001</v>
      </c>
    </row>
    <row r="20" spans="1:21">
      <c r="A20" s="4"/>
      <c r="B20" s="38"/>
      <c r="C20" s="4"/>
      <c r="D20" s="4"/>
      <c r="E20" s="4"/>
      <c r="F20" s="4"/>
      <c r="G20" s="4"/>
      <c r="H20" s="32"/>
      <c r="I20" s="32"/>
      <c r="J20" s="32"/>
      <c r="K20" s="32"/>
      <c r="L20" s="38"/>
      <c r="M20" s="4"/>
    </row>
    <row r="21" spans="1:21">
      <c r="A21" s="74" t="s">
        <v>109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58"/>
      <c r="M21" s="58"/>
    </row>
  </sheetData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18"/>
  <sheetViews>
    <sheetView zoomScaleNormal="100" workbookViewId="0"/>
  </sheetViews>
  <sheetFormatPr baseColWidth="10" defaultRowHeight="12.75"/>
  <cols>
    <col min="1" max="1" width="19.28515625" customWidth="1"/>
    <col min="2" max="2" width="15.28515625" customWidth="1"/>
  </cols>
  <sheetData>
    <row r="1" spans="1:3">
      <c r="A1" s="35" t="s">
        <v>123</v>
      </c>
      <c r="B1" s="88"/>
      <c r="C1" s="103"/>
    </row>
    <row r="2" spans="1:3" ht="13.5" thickBot="1">
      <c r="A2" s="104"/>
      <c r="B2" s="88"/>
      <c r="C2" s="103"/>
    </row>
    <row r="3" spans="1:3" ht="21.75" customHeight="1">
      <c r="A3" s="176"/>
      <c r="B3" s="179" t="s">
        <v>79</v>
      </c>
      <c r="C3" s="179"/>
    </row>
    <row r="4" spans="1:3">
      <c r="A4" s="178"/>
      <c r="B4" s="41" t="s">
        <v>51</v>
      </c>
      <c r="C4" s="36" t="s">
        <v>67</v>
      </c>
    </row>
    <row r="5" spans="1:3">
      <c r="A5" s="69"/>
      <c r="B5" s="88"/>
      <c r="C5" s="103"/>
    </row>
    <row r="6" spans="1:3">
      <c r="A6" s="163">
        <v>2009</v>
      </c>
      <c r="B6" s="88">
        <v>8543</v>
      </c>
      <c r="C6" s="171">
        <v>0.8</v>
      </c>
    </row>
    <row r="7" spans="1:3">
      <c r="A7" s="164">
        <v>2010</v>
      </c>
      <c r="B7" s="88">
        <v>8785</v>
      </c>
      <c r="C7" s="171">
        <v>0.82</v>
      </c>
    </row>
    <row r="8" spans="1:3">
      <c r="A8" s="163">
        <v>2011</v>
      </c>
      <c r="B8" s="88">
        <v>9173</v>
      </c>
      <c r="C8" s="171">
        <v>0.86</v>
      </c>
    </row>
    <row r="9" spans="1:3">
      <c r="A9" s="164">
        <v>2012</v>
      </c>
      <c r="B9" s="88">
        <v>10017</v>
      </c>
      <c r="C9" s="171">
        <v>0.97</v>
      </c>
    </row>
    <row r="10" spans="1:3">
      <c r="A10" s="163">
        <v>2013</v>
      </c>
      <c r="B10" s="88">
        <v>10591</v>
      </c>
      <c r="C10" s="171">
        <v>1.04</v>
      </c>
    </row>
    <row r="11" spans="1:3">
      <c r="A11" s="164">
        <v>2014</v>
      </c>
      <c r="B11" s="88">
        <v>10838</v>
      </c>
      <c r="C11" s="171">
        <v>1.05</v>
      </c>
    </row>
    <row r="12" spans="1:3">
      <c r="A12" s="163">
        <v>2015</v>
      </c>
      <c r="B12" s="88">
        <v>10671</v>
      </c>
      <c r="C12" s="171">
        <v>0.99</v>
      </c>
    </row>
    <row r="13" spans="1:3">
      <c r="A13" s="164">
        <v>2016</v>
      </c>
      <c r="B13" s="88">
        <v>10920</v>
      </c>
      <c r="C13" s="171">
        <v>0.98</v>
      </c>
    </row>
    <row r="14" spans="1:3">
      <c r="A14" s="164">
        <v>2017</v>
      </c>
      <c r="B14" s="88">
        <v>11120</v>
      </c>
      <c r="C14" s="171">
        <v>0.96</v>
      </c>
    </row>
    <row r="15" spans="1:3">
      <c r="A15" s="164" t="s">
        <v>122</v>
      </c>
      <c r="B15" s="88">
        <v>11271</v>
      </c>
      <c r="C15" s="171">
        <v>0.94</v>
      </c>
    </row>
    <row r="16" spans="1:3" s="169" customFormat="1">
      <c r="A16" s="170"/>
      <c r="C16" s="172"/>
    </row>
    <row r="17" spans="1:1">
      <c r="A17" s="74" t="s">
        <v>80</v>
      </c>
    </row>
    <row r="18" spans="1:1">
      <c r="A18" s="74" t="s">
        <v>121</v>
      </c>
    </row>
  </sheetData>
  <mergeCells count="2">
    <mergeCell ref="A3:A4"/>
    <mergeCell ref="B3:C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W29"/>
  <sheetViews>
    <sheetView zoomScaleNormal="100" workbookViewId="0"/>
  </sheetViews>
  <sheetFormatPr baseColWidth="10" defaultColWidth="11.5703125" defaultRowHeight="11.25"/>
  <cols>
    <col min="1" max="1" width="29.85546875" style="2" customWidth="1"/>
    <col min="2" max="2" width="10.7109375" style="2" customWidth="1"/>
    <col min="3" max="3" width="9.7109375" style="2" customWidth="1"/>
    <col min="4" max="4" width="9.5703125" style="2" customWidth="1"/>
    <col min="5" max="6" width="8.5703125" style="2" customWidth="1"/>
    <col min="7" max="7" width="10" style="2" customWidth="1"/>
    <col min="8" max="13" width="8.5703125" style="2" customWidth="1"/>
    <col min="14" max="14" width="8.7109375" style="2" customWidth="1"/>
    <col min="15" max="16" width="8.5703125" style="2" customWidth="1"/>
    <col min="17" max="17" width="9.7109375" style="2" customWidth="1"/>
    <col min="18" max="18" width="8.5703125" style="2" customWidth="1"/>
    <col min="19" max="19" width="9.7109375" style="2" customWidth="1"/>
    <col min="20" max="21" width="8.5703125" style="2" customWidth="1"/>
    <col min="22" max="22" width="9.28515625" style="2" customWidth="1"/>
    <col min="23" max="16384" width="11.5703125" style="2"/>
  </cols>
  <sheetData>
    <row r="1" spans="1:23" ht="13.15" customHeight="1">
      <c r="A1" s="31" t="s">
        <v>126</v>
      </c>
    </row>
    <row r="2" spans="1:23" ht="13.1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5"/>
    </row>
    <row r="3" spans="1:23" ht="54.95" customHeight="1">
      <c r="A3" s="7"/>
      <c r="B3" s="90" t="s">
        <v>100</v>
      </c>
      <c r="C3" s="75" t="s">
        <v>107</v>
      </c>
      <c r="D3" s="173" t="s">
        <v>97</v>
      </c>
      <c r="E3" s="76" t="s">
        <v>9</v>
      </c>
      <c r="F3" s="76" t="s">
        <v>22</v>
      </c>
      <c r="G3" s="173" t="s">
        <v>136</v>
      </c>
      <c r="H3" s="173" t="s">
        <v>137</v>
      </c>
      <c r="I3" s="76" t="s">
        <v>10</v>
      </c>
      <c r="J3" s="76" t="s">
        <v>23</v>
      </c>
      <c r="K3" s="173" t="s">
        <v>24</v>
      </c>
      <c r="L3" s="77" t="s">
        <v>25</v>
      </c>
      <c r="M3" s="78" t="s">
        <v>11</v>
      </c>
      <c r="N3" s="77" t="s">
        <v>52</v>
      </c>
      <c r="O3" s="77" t="s">
        <v>95</v>
      </c>
      <c r="P3" s="79" t="s">
        <v>12</v>
      </c>
      <c r="Q3" s="77" t="s">
        <v>138</v>
      </c>
      <c r="R3" s="77" t="s">
        <v>139</v>
      </c>
      <c r="S3" s="77" t="s">
        <v>140</v>
      </c>
      <c r="T3" s="77" t="s">
        <v>13</v>
      </c>
      <c r="U3" s="77" t="s">
        <v>141</v>
      </c>
      <c r="V3" s="77" t="s">
        <v>104</v>
      </c>
    </row>
    <row r="4" spans="1:23" ht="12.95" customHeight="1">
      <c r="A4" s="8"/>
      <c r="B4" s="108"/>
      <c r="C4" s="57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3" ht="12.95" customHeight="1">
      <c r="A5" s="80" t="s">
        <v>18</v>
      </c>
      <c r="B5" s="93">
        <v>48250081.40648292</v>
      </c>
      <c r="C5" s="105">
        <v>5.1926333551498747</v>
      </c>
      <c r="D5" s="105">
        <v>4.4379658615711479</v>
      </c>
      <c r="E5" s="105">
        <v>16.907470180773416</v>
      </c>
      <c r="F5" s="105">
        <v>2.5351003860392476</v>
      </c>
      <c r="G5" s="105">
        <v>1.7274231166126335</v>
      </c>
      <c r="H5" s="105">
        <v>1.9877852472827817</v>
      </c>
      <c r="I5" s="105">
        <v>3.5445015928412773</v>
      </c>
      <c r="J5" s="105">
        <v>1.2254383055207776</v>
      </c>
      <c r="K5" s="105">
        <v>4.5311725416203084</v>
      </c>
      <c r="L5" s="105">
        <v>3.5263095945189264</v>
      </c>
      <c r="M5" s="110">
        <v>13.863641372748074</v>
      </c>
      <c r="N5" s="110">
        <v>9.7439219429344011</v>
      </c>
      <c r="O5" s="110">
        <v>2.2070710728381289</v>
      </c>
      <c r="P5" s="110">
        <v>5.0802988374868292</v>
      </c>
      <c r="Q5" s="110">
        <v>10.824101364724912</v>
      </c>
      <c r="R5" s="110">
        <v>2.9636697769547546</v>
      </c>
      <c r="S5" s="110">
        <v>1.4005407760306803</v>
      </c>
      <c r="T5" s="110">
        <v>5.7695781019883698</v>
      </c>
      <c r="U5" s="110">
        <v>0.60349571132718516</v>
      </c>
      <c r="V5" s="110">
        <v>7.626570577382644</v>
      </c>
      <c r="W5" s="95"/>
    </row>
    <row r="6" spans="1:23" ht="12.95" customHeight="1">
      <c r="A6" s="10"/>
      <c r="B6" s="109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10"/>
      <c r="N6" s="110"/>
      <c r="O6" s="111"/>
      <c r="P6" s="106"/>
      <c r="Q6" s="106"/>
      <c r="R6" s="106"/>
      <c r="S6" s="106"/>
      <c r="T6" s="106"/>
      <c r="U6" s="106"/>
      <c r="V6" s="106"/>
      <c r="W6" s="95"/>
    </row>
    <row r="7" spans="1:23" ht="12.95" customHeight="1">
      <c r="A7" s="11" t="s">
        <v>14</v>
      </c>
      <c r="B7" s="93">
        <v>35795800.891875312</v>
      </c>
      <c r="C7" s="105">
        <v>1.838981370994863</v>
      </c>
      <c r="D7" s="105">
        <v>1.5922373457199677</v>
      </c>
      <c r="E7" s="105">
        <v>16.80700096129296</v>
      </c>
      <c r="F7" s="105">
        <v>2.635047509759977</v>
      </c>
      <c r="G7" s="105">
        <v>1.808694352043261</v>
      </c>
      <c r="H7" s="105">
        <v>2.3954122512582749</v>
      </c>
      <c r="I7" s="105">
        <v>3.8948886049828473</v>
      </c>
      <c r="J7" s="105">
        <v>1.3496876950996173</v>
      </c>
      <c r="K7" s="105">
        <v>4.5961815604282945</v>
      </c>
      <c r="L7" s="105">
        <v>4.1728350889867354</v>
      </c>
      <c r="M7" s="110">
        <v>14.226209100305679</v>
      </c>
      <c r="N7" s="110">
        <v>9.8689163717574999</v>
      </c>
      <c r="O7" s="110">
        <v>2.5463576458495072</v>
      </c>
      <c r="P7" s="110">
        <v>5.280251377973789</v>
      </c>
      <c r="Q7" s="110">
        <v>9.8582498284064144</v>
      </c>
      <c r="R7" s="110">
        <v>3.1862880046884938</v>
      </c>
      <c r="S7" s="110">
        <v>1.6359246205820228</v>
      </c>
      <c r="T7" s="110">
        <v>6.2792925893443927</v>
      </c>
      <c r="U7" s="110">
        <v>0.68413921716606763</v>
      </c>
      <c r="V7" s="110">
        <v>7.8642329071311403</v>
      </c>
      <c r="W7" s="95"/>
    </row>
    <row r="8" spans="1:23" ht="12.95" customHeight="1">
      <c r="A8" s="12" t="s">
        <v>85</v>
      </c>
      <c r="B8" s="94">
        <v>15472386.700316809</v>
      </c>
      <c r="C8" s="107">
        <v>1.090400616709932</v>
      </c>
      <c r="D8" s="107">
        <v>1.090400616709932</v>
      </c>
      <c r="E8" s="107">
        <v>15.033239183146662</v>
      </c>
      <c r="F8" s="107">
        <v>2.3275652746749542</v>
      </c>
      <c r="G8" s="107">
        <v>1.5230858532974405</v>
      </c>
      <c r="H8" s="107">
        <v>2.3308685788768169</v>
      </c>
      <c r="I8" s="107">
        <v>3.4423281315034253</v>
      </c>
      <c r="J8" s="107">
        <v>1.3400399952242315</v>
      </c>
      <c r="K8" s="107">
        <v>3.839808372859729</v>
      </c>
      <c r="L8" s="107">
        <v>3.8558676276348773</v>
      </c>
      <c r="M8" s="112">
        <v>15.170520969800281</v>
      </c>
      <c r="N8" s="112">
        <v>11.003192890500472</v>
      </c>
      <c r="O8" s="112">
        <v>2.4240655773702984</v>
      </c>
      <c r="P8" s="112">
        <v>5.33637344194024</v>
      </c>
      <c r="Q8" s="112">
        <v>9.9266274153330958</v>
      </c>
      <c r="R8" s="112">
        <v>3.3656793233414803</v>
      </c>
      <c r="S8" s="112">
        <v>1.5048837017591397</v>
      </c>
      <c r="T8" s="112">
        <v>5.7685729256764668</v>
      </c>
      <c r="U8" s="112">
        <v>0.61120678297203901</v>
      </c>
      <c r="V8" s="112">
        <v>11.134826210326839</v>
      </c>
      <c r="W8" s="95"/>
    </row>
    <row r="9" spans="1:23" ht="12.95" customHeight="1">
      <c r="A9" s="13" t="s">
        <v>86</v>
      </c>
      <c r="B9" s="94">
        <v>14154126.651333928</v>
      </c>
      <c r="C9" s="107">
        <v>1.5148373706250053</v>
      </c>
      <c r="D9" s="107">
        <v>0.91556337732633641</v>
      </c>
      <c r="E9" s="107">
        <v>18.837469846638125</v>
      </c>
      <c r="F9" s="107">
        <v>3.0141656246928745</v>
      </c>
      <c r="G9" s="107">
        <v>1.9470391200295494</v>
      </c>
      <c r="H9" s="107">
        <v>2.7049567199112059</v>
      </c>
      <c r="I9" s="107">
        <v>4.4824239292800714</v>
      </c>
      <c r="J9" s="107">
        <v>1.2862077928548343</v>
      </c>
      <c r="K9" s="107">
        <v>5.0246547704373885</v>
      </c>
      <c r="L9" s="107">
        <v>4.2322168986918403</v>
      </c>
      <c r="M9" s="112">
        <v>14.325075528320298</v>
      </c>
      <c r="N9" s="112">
        <v>9.7785817588368182</v>
      </c>
      <c r="O9" s="112">
        <v>2.7524651262272273</v>
      </c>
      <c r="P9" s="112">
        <v>5.5544333876361618</v>
      </c>
      <c r="Q9" s="112">
        <v>10.32242126971717</v>
      </c>
      <c r="R9" s="112">
        <v>3.4517383660259693</v>
      </c>
      <c r="S9" s="112">
        <v>1.7968728590622283</v>
      </c>
      <c r="T9" s="112">
        <v>7.0519739310588241</v>
      </c>
      <c r="U9" s="112">
        <v>0.74008720976173947</v>
      </c>
      <c r="V9" s="112">
        <v>2.0567550804878825</v>
      </c>
      <c r="W9" s="95"/>
    </row>
    <row r="10" spans="1:23" ht="12.95" customHeight="1">
      <c r="A10" s="13" t="s">
        <v>36</v>
      </c>
      <c r="B10" s="94">
        <v>1096869.7191869835</v>
      </c>
      <c r="C10" s="107">
        <v>0.3011296548917618</v>
      </c>
      <c r="D10" s="107">
        <v>0.3011296548917618</v>
      </c>
      <c r="E10" s="107">
        <v>18.898031951656403</v>
      </c>
      <c r="F10" s="107">
        <v>2.4880210951787438</v>
      </c>
      <c r="G10" s="107">
        <v>1.9415367775659826</v>
      </c>
      <c r="H10" s="107">
        <v>2.4135956656386623</v>
      </c>
      <c r="I10" s="107">
        <v>4.0059205967112295</v>
      </c>
      <c r="J10" s="107">
        <v>3.1204735987579242</v>
      </c>
      <c r="K10" s="107">
        <v>6.9600790927646896</v>
      </c>
      <c r="L10" s="107">
        <v>5.3304826432201722</v>
      </c>
      <c r="M10" s="112">
        <v>6.7121389552373785</v>
      </c>
      <c r="N10" s="112">
        <v>7.7881601520843358</v>
      </c>
      <c r="O10" s="112">
        <v>1.592481891372399</v>
      </c>
      <c r="P10" s="112">
        <v>4.4962798787585712</v>
      </c>
      <c r="Q10" s="112">
        <v>9.4031249286787624</v>
      </c>
      <c r="R10" s="112">
        <v>2.8625623855559708</v>
      </c>
      <c r="S10" s="112">
        <v>1.789441676973226</v>
      </c>
      <c r="T10" s="112">
        <v>5.5550848012436482</v>
      </c>
      <c r="U10" s="112">
        <v>0.97897369324400862</v>
      </c>
      <c r="V10" s="112">
        <v>16.340336219040637</v>
      </c>
      <c r="W10" s="95"/>
    </row>
    <row r="11" spans="1:23" ht="12.95" customHeight="1">
      <c r="A11" s="12" t="s">
        <v>30</v>
      </c>
      <c r="B11" s="94">
        <v>1402954.4398953712</v>
      </c>
      <c r="C11" s="107">
        <v>4.2624334974455572E-2</v>
      </c>
      <c r="D11" s="107">
        <v>4.2624334974455572E-2</v>
      </c>
      <c r="E11" s="107">
        <v>25.876868818853062</v>
      </c>
      <c r="F11" s="107">
        <v>4.8582518477993579</v>
      </c>
      <c r="G11" s="107">
        <v>2.8966529378552548</v>
      </c>
      <c r="H11" s="107">
        <v>1.9075459073350838</v>
      </c>
      <c r="I11" s="107">
        <v>1.4667575378666362</v>
      </c>
      <c r="J11" s="107">
        <v>0.37836795330259493</v>
      </c>
      <c r="K11" s="107">
        <v>6.7739904659404013</v>
      </c>
      <c r="L11" s="107">
        <v>10.181873761392648</v>
      </c>
      <c r="M11" s="112">
        <v>7.2387957843033677</v>
      </c>
      <c r="N11" s="112">
        <v>4.1705878114162873</v>
      </c>
      <c r="O11" s="112">
        <v>2.9078168848478367</v>
      </c>
      <c r="P11" s="112">
        <v>3.026528711307733</v>
      </c>
      <c r="Q11" s="112">
        <v>13.101254379558302</v>
      </c>
      <c r="R11" s="112">
        <v>3.0932458507516771</v>
      </c>
      <c r="S11" s="112">
        <v>1.8601075738763533</v>
      </c>
      <c r="T11" s="112">
        <v>7.4291387087219309</v>
      </c>
      <c r="U11" s="112">
        <v>0.99989469373261897</v>
      </c>
      <c r="V11" s="112">
        <v>2.1138063472832127</v>
      </c>
      <c r="W11" s="95"/>
    </row>
    <row r="12" spans="1:23" ht="12.95" customHeight="1">
      <c r="A12" s="12" t="s">
        <v>31</v>
      </c>
      <c r="B12" s="94">
        <v>368343.08165607497</v>
      </c>
      <c r="C12" s="107">
        <v>0</v>
      </c>
      <c r="D12" s="107">
        <v>0</v>
      </c>
      <c r="E12" s="107">
        <v>23.604882059705169</v>
      </c>
      <c r="F12" s="107">
        <v>3.1535518321057689</v>
      </c>
      <c r="G12" s="107">
        <v>0</v>
      </c>
      <c r="H12" s="107">
        <v>4.1724687568179073</v>
      </c>
      <c r="I12" s="107">
        <v>4.1422903699997748</v>
      </c>
      <c r="J12" s="107">
        <v>4.9098058035160959</v>
      </c>
      <c r="K12" s="107">
        <v>3.8705762942255775</v>
      </c>
      <c r="L12" s="107">
        <v>6.818072946310707</v>
      </c>
      <c r="M12" s="112">
        <v>7.8236247859270023</v>
      </c>
      <c r="N12" s="112">
        <v>5.3869419240313139</v>
      </c>
      <c r="O12" s="112">
        <v>3.5759425508359519</v>
      </c>
      <c r="P12" s="112">
        <v>0</v>
      </c>
      <c r="Q12" s="112">
        <v>11.959635512071916</v>
      </c>
      <c r="R12" s="112">
        <v>2.8903325541323932</v>
      </c>
      <c r="S12" s="112">
        <v>1.4400024831565952</v>
      </c>
      <c r="T12" s="112">
        <v>9.0055706953585215</v>
      </c>
      <c r="U12" s="112">
        <v>0.74510426194528068</v>
      </c>
      <c r="V12" s="112">
        <v>7.4180299185074583</v>
      </c>
      <c r="W12" s="95"/>
    </row>
    <row r="13" spans="1:23" ht="12.95" customHeight="1">
      <c r="A13" s="12" t="s">
        <v>32</v>
      </c>
      <c r="B13" s="94">
        <v>99435</v>
      </c>
      <c r="C13" s="107">
        <v>100</v>
      </c>
      <c r="D13" s="107">
        <v>100</v>
      </c>
      <c r="E13" s="107">
        <v>0</v>
      </c>
      <c r="F13" s="107">
        <v>0</v>
      </c>
      <c r="G13" s="107">
        <v>0</v>
      </c>
      <c r="H13" s="107">
        <v>0</v>
      </c>
      <c r="I13" s="107">
        <v>0</v>
      </c>
      <c r="J13" s="107">
        <v>0</v>
      </c>
      <c r="K13" s="107">
        <v>0</v>
      </c>
      <c r="L13" s="107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112">
        <v>0</v>
      </c>
      <c r="V13" s="112">
        <v>0</v>
      </c>
      <c r="W13" s="95"/>
    </row>
    <row r="14" spans="1:23" ht="12.95" customHeight="1">
      <c r="A14" s="13" t="s">
        <v>87</v>
      </c>
      <c r="B14" s="94">
        <v>1122117.1325000001</v>
      </c>
      <c r="C14" s="107">
        <v>0</v>
      </c>
      <c r="D14" s="107">
        <v>0</v>
      </c>
      <c r="E14" s="107">
        <v>7.8387716801035472</v>
      </c>
      <c r="F14" s="107">
        <v>1.9383921134454294</v>
      </c>
      <c r="G14" s="107">
        <v>5.0391943374057693</v>
      </c>
      <c r="H14" s="107">
        <v>0.97146720999734837</v>
      </c>
      <c r="I14" s="107">
        <v>8.6092616538853175</v>
      </c>
      <c r="J14" s="107">
        <v>1.9108602283104343</v>
      </c>
      <c r="K14" s="107">
        <v>6.3706361777699705</v>
      </c>
      <c r="L14" s="107">
        <v>3.3987628292450118</v>
      </c>
      <c r="M14" s="112">
        <v>7.7073225294508179</v>
      </c>
      <c r="N14" s="112">
        <v>13.116963972564603</v>
      </c>
      <c r="O14" s="112">
        <v>2.517113421757688</v>
      </c>
      <c r="P14" s="112">
        <v>13.376181630485886</v>
      </c>
      <c r="Q14" s="112">
        <v>2.5299221603320454</v>
      </c>
      <c r="R14" s="112">
        <v>1.8191719392538548</v>
      </c>
      <c r="S14" s="112">
        <v>1.509387399002216</v>
      </c>
      <c r="T14" s="112">
        <v>4.9309507926972138</v>
      </c>
      <c r="U14" s="112">
        <v>0.5074358848183792</v>
      </c>
      <c r="V14" s="112">
        <v>15.970231164793303</v>
      </c>
      <c r="W14" s="95"/>
    </row>
    <row r="15" spans="1:23" ht="12.95" customHeight="1">
      <c r="A15" s="13" t="s">
        <v>35</v>
      </c>
      <c r="B15" s="94">
        <v>285857.86489646992</v>
      </c>
      <c r="C15" s="107">
        <v>1.096698879051452</v>
      </c>
      <c r="D15" s="107">
        <v>0.92108712872168208</v>
      </c>
      <c r="E15" s="107">
        <v>50.790339476083076</v>
      </c>
      <c r="F15" s="107">
        <v>5.4918901761495206E-2</v>
      </c>
      <c r="G15" s="107">
        <v>0</v>
      </c>
      <c r="H15" s="107">
        <v>7.1168236030056589</v>
      </c>
      <c r="I15" s="107">
        <v>0</v>
      </c>
      <c r="J15" s="107">
        <v>6.3479100029561863E-2</v>
      </c>
      <c r="K15" s="107">
        <v>4.3969404181172891</v>
      </c>
      <c r="L15" s="107">
        <v>0</v>
      </c>
      <c r="M15" s="112">
        <v>10.598667611342723</v>
      </c>
      <c r="N15" s="112">
        <v>0.69800745930941865</v>
      </c>
      <c r="O15" s="112">
        <v>0.26682981777543507</v>
      </c>
      <c r="P15" s="112">
        <v>0</v>
      </c>
      <c r="Q15" s="112">
        <v>14.006425890888419</v>
      </c>
      <c r="R15" s="112">
        <v>1.5704168229290643</v>
      </c>
      <c r="S15" s="112">
        <v>2.0798604750387306</v>
      </c>
      <c r="T15" s="112">
        <v>4.8861961427926364</v>
      </c>
      <c r="U15" s="112">
        <v>1.3276458219452918</v>
      </c>
      <c r="V15" s="112">
        <v>1.4928454046718438</v>
      </c>
      <c r="W15" s="95"/>
    </row>
    <row r="16" spans="1:23" ht="12.95" customHeight="1">
      <c r="A16" s="12" t="s">
        <v>33</v>
      </c>
      <c r="B16" s="94">
        <v>527690.89140355808</v>
      </c>
      <c r="C16" s="107">
        <v>16.775561496721167</v>
      </c>
      <c r="D16" s="107">
        <v>16.207046851334631</v>
      </c>
      <c r="E16" s="107">
        <v>0.53137168855461758</v>
      </c>
      <c r="F16" s="107">
        <v>0.7805933487015323</v>
      </c>
      <c r="G16" s="107">
        <v>0</v>
      </c>
      <c r="H16" s="107">
        <v>0</v>
      </c>
      <c r="I16" s="107">
        <v>8.1487099172070452E-3</v>
      </c>
      <c r="J16" s="107">
        <v>0.10129225436851949</v>
      </c>
      <c r="K16" s="107">
        <v>0.74020606829327262</v>
      </c>
      <c r="L16" s="107">
        <v>0.69863248732497296</v>
      </c>
      <c r="M16" s="112">
        <v>1.1185655467075208</v>
      </c>
      <c r="N16" s="112">
        <v>6.7847674809720226</v>
      </c>
      <c r="O16" s="112">
        <v>1.698877510687226</v>
      </c>
      <c r="P16" s="112">
        <v>0.95156622215786479</v>
      </c>
      <c r="Q16" s="112">
        <v>0.98999245298793792</v>
      </c>
      <c r="R16" s="112">
        <v>0</v>
      </c>
      <c r="S16" s="112">
        <v>0.61032084344642823</v>
      </c>
      <c r="T16" s="112">
        <v>0.98258978588938339</v>
      </c>
      <c r="U16" s="112">
        <v>0.23933519046364274</v>
      </c>
      <c r="V16" s="112">
        <v>68.237781683561579</v>
      </c>
      <c r="W16" s="95"/>
    </row>
    <row r="17" spans="1:23" ht="12.95" customHeight="1">
      <c r="A17" s="14" t="s">
        <v>88</v>
      </c>
      <c r="B17" s="94">
        <v>156824.25747823223</v>
      </c>
      <c r="C17" s="107">
        <v>1.8836371665333889</v>
      </c>
      <c r="D17" s="107">
        <v>1.8836371665333889</v>
      </c>
      <c r="E17" s="107">
        <v>14.646420374850615</v>
      </c>
      <c r="F17" s="107">
        <v>0.85280174222131155</v>
      </c>
      <c r="G17" s="107">
        <v>1.0479864699682211</v>
      </c>
      <c r="H17" s="107">
        <v>0.40363653568572622</v>
      </c>
      <c r="I17" s="107">
        <v>0.8283603703211001</v>
      </c>
      <c r="J17" s="107">
        <v>0.20807367766131013</v>
      </c>
      <c r="K17" s="107">
        <v>13.183547196370283</v>
      </c>
      <c r="L17" s="107">
        <v>0.97969537666279582</v>
      </c>
      <c r="M17" s="112">
        <v>24.577125500374763</v>
      </c>
      <c r="N17" s="112">
        <v>13.81310541387821</v>
      </c>
      <c r="O17" s="112">
        <v>4.4321727210886257</v>
      </c>
      <c r="P17" s="112">
        <v>3.6164656547391751</v>
      </c>
      <c r="Q17" s="112">
        <v>5.89931057144278</v>
      </c>
      <c r="R17" s="112">
        <v>0.16929778866439227</v>
      </c>
      <c r="S17" s="112">
        <v>1.5057476379915298</v>
      </c>
      <c r="T17" s="112">
        <v>10.795866820762738</v>
      </c>
      <c r="U17" s="112">
        <v>0.27663003605179909</v>
      </c>
      <c r="V17" s="112">
        <v>0.97576741290320013</v>
      </c>
      <c r="W17" s="95"/>
    </row>
    <row r="18" spans="1:23" ht="12.95" customHeight="1">
      <c r="A18" s="14" t="s">
        <v>34</v>
      </c>
      <c r="B18" s="94">
        <v>48233.572570000004</v>
      </c>
      <c r="C18" s="107">
        <v>0</v>
      </c>
      <c r="D18" s="107">
        <v>0</v>
      </c>
      <c r="E18" s="107">
        <v>69.509219851678097</v>
      </c>
      <c r="F18" s="107">
        <v>0</v>
      </c>
      <c r="G18" s="107">
        <v>4.2605676720661787</v>
      </c>
      <c r="H18" s="107">
        <v>5.7947190122475307</v>
      </c>
      <c r="I18" s="107">
        <v>0</v>
      </c>
      <c r="J18" s="107">
        <v>1.6011047053983543</v>
      </c>
      <c r="K18" s="107">
        <v>0.76502730430030008</v>
      </c>
      <c r="L18" s="107">
        <v>0</v>
      </c>
      <c r="M18" s="112">
        <v>0</v>
      </c>
      <c r="N18" s="112">
        <v>3.4934173651653269</v>
      </c>
      <c r="O18" s="112">
        <v>2.1482961862221432</v>
      </c>
      <c r="P18" s="112">
        <v>2.6040822876579219</v>
      </c>
      <c r="Q18" s="112">
        <v>0</v>
      </c>
      <c r="R18" s="112">
        <v>0</v>
      </c>
      <c r="S18" s="112">
        <v>0.81073457586515252</v>
      </c>
      <c r="T18" s="112">
        <v>5.2567895449175932</v>
      </c>
      <c r="U18" s="112">
        <v>2.3028213354671685</v>
      </c>
      <c r="V18" s="112">
        <v>1.6585957816808674</v>
      </c>
      <c r="W18" s="95"/>
    </row>
    <row r="19" spans="1:23" ht="12.95" customHeight="1">
      <c r="A19" s="14" t="s">
        <v>94</v>
      </c>
      <c r="B19" s="94">
        <v>1041934.1706378802</v>
      </c>
      <c r="C19" s="107">
        <v>7.4099690916877474</v>
      </c>
      <c r="D19" s="107">
        <v>7.4099690916877474</v>
      </c>
      <c r="E19" s="107">
        <v>7.1211447028918942</v>
      </c>
      <c r="F19" s="107">
        <v>2.1160453914763315</v>
      </c>
      <c r="G19" s="107">
        <v>1.3449485960730936</v>
      </c>
      <c r="H19" s="107">
        <v>1.0245368950194504</v>
      </c>
      <c r="I19" s="107">
        <v>4.7435539972493483</v>
      </c>
      <c r="J19" s="107">
        <v>1.2348611229558835</v>
      </c>
      <c r="K19" s="107">
        <v>4.3470116708305353</v>
      </c>
      <c r="L19" s="107">
        <v>2.7142914396104385</v>
      </c>
      <c r="M19" s="112">
        <v>33.814852231822343</v>
      </c>
      <c r="N19" s="112">
        <v>7.1036637520667103</v>
      </c>
      <c r="O19" s="112">
        <v>2.8261784854705074</v>
      </c>
      <c r="P19" s="112">
        <v>2.3454414500139573</v>
      </c>
      <c r="Q19" s="112">
        <v>11.325548515963973</v>
      </c>
      <c r="R19" s="112">
        <v>1.9802901739337444</v>
      </c>
      <c r="S19" s="112">
        <v>1.7789231434013499</v>
      </c>
      <c r="T19" s="112">
        <v>6.2154826979474782</v>
      </c>
      <c r="U19" s="112">
        <v>0.55325664158522481</v>
      </c>
      <c r="V19" s="112">
        <v>0</v>
      </c>
      <c r="W19" s="95"/>
    </row>
    <row r="20" spans="1:23" ht="12.95" customHeight="1">
      <c r="A20" s="10" t="s">
        <v>37</v>
      </c>
      <c r="B20" s="94">
        <v>19027.41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12">
        <v>0</v>
      </c>
      <c r="N20" s="112">
        <v>0</v>
      </c>
      <c r="O20" s="112">
        <v>0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  <c r="U20" s="112">
        <v>0</v>
      </c>
      <c r="V20" s="112">
        <v>100</v>
      </c>
      <c r="W20" s="95"/>
    </row>
    <row r="21" spans="1:23" ht="15" customHeight="1">
      <c r="A21" s="11" t="s">
        <v>89</v>
      </c>
      <c r="B21" s="93">
        <v>9535721.2864176072</v>
      </c>
      <c r="C21" s="105">
        <v>2.3587068481161335</v>
      </c>
      <c r="D21" s="105">
        <v>2.3587068481161335</v>
      </c>
      <c r="E21" s="105">
        <v>18.756404285301087</v>
      </c>
      <c r="F21" s="105">
        <v>2.7552475802142893</v>
      </c>
      <c r="G21" s="105">
        <v>1.9276230971831922</v>
      </c>
      <c r="H21" s="105">
        <v>1.0272217177689671</v>
      </c>
      <c r="I21" s="105">
        <v>3.1487113033354941</v>
      </c>
      <c r="J21" s="105">
        <v>1.1137173246796703</v>
      </c>
      <c r="K21" s="105">
        <v>5.5901218585244559</v>
      </c>
      <c r="L21" s="105">
        <v>2.1786239735835116</v>
      </c>
      <c r="M21" s="110">
        <v>15.851821051015628</v>
      </c>
      <c r="N21" s="110">
        <v>11.994746707406115</v>
      </c>
      <c r="O21" s="110">
        <v>1.5657218993246216</v>
      </c>
      <c r="P21" s="110">
        <v>5.7224481037134076</v>
      </c>
      <c r="Q21" s="110">
        <v>16.633838409888025</v>
      </c>
      <c r="R21" s="110">
        <v>2.9912311972276364</v>
      </c>
      <c r="S21" s="110">
        <v>0.8958849789660488</v>
      </c>
      <c r="T21" s="110">
        <v>4.6969882788831443</v>
      </c>
      <c r="U21" s="110">
        <v>0.46461718698832077</v>
      </c>
      <c r="V21" s="110">
        <v>0.32737288624894134</v>
      </c>
      <c r="W21" s="95"/>
    </row>
    <row r="22" spans="1:23" ht="15" customHeight="1">
      <c r="A22" s="15" t="s">
        <v>15</v>
      </c>
      <c r="B22" s="93">
        <v>814365.9530000001</v>
      </c>
      <c r="C22" s="105">
        <v>0</v>
      </c>
      <c r="D22" s="105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105">
        <v>1.5349364685436448E-2</v>
      </c>
      <c r="K22" s="105">
        <v>0</v>
      </c>
      <c r="L22" s="105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99.984650635314566</v>
      </c>
      <c r="W22" s="95"/>
    </row>
    <row r="23" spans="1:23" ht="15" customHeight="1">
      <c r="A23" s="15" t="s">
        <v>16</v>
      </c>
      <c r="B23" s="93">
        <v>2104193.27519</v>
      </c>
      <c r="C23" s="105">
        <v>77.096149822716129</v>
      </c>
      <c r="D23" s="105">
        <v>63.988813949537089</v>
      </c>
      <c r="E23" s="105">
        <v>16.781209889957267</v>
      </c>
      <c r="F23" s="105">
        <v>0.81831408754241952</v>
      </c>
      <c r="G23" s="105">
        <v>0.10615303386511912</v>
      </c>
      <c r="H23" s="105">
        <v>0.17574431225506534</v>
      </c>
      <c r="I23" s="105">
        <v>0.74926577258338567</v>
      </c>
      <c r="J23" s="105">
        <v>8.6374194872183924E-2</v>
      </c>
      <c r="K23" s="105">
        <v>0.38000311541143927</v>
      </c>
      <c r="L23" s="105">
        <v>0</v>
      </c>
      <c r="M23" s="110">
        <v>4.0513051251103596</v>
      </c>
      <c r="N23" s="110">
        <v>1.1884364566150403</v>
      </c>
      <c r="O23" s="110">
        <v>0.19587554283138925</v>
      </c>
      <c r="P23" s="110">
        <v>0.73488273070370513</v>
      </c>
      <c r="Q23" s="110">
        <v>5.1155837854429222</v>
      </c>
      <c r="R23" s="110">
        <v>0.19866521052456723</v>
      </c>
      <c r="S23" s="110">
        <v>0.22529536881881435</v>
      </c>
      <c r="T23" s="110">
        <v>4.1921694280690476</v>
      </c>
      <c r="U23" s="110">
        <v>9.4547398447529019E-2</v>
      </c>
      <c r="V23" s="110">
        <v>0.91736059741265996</v>
      </c>
      <c r="W23" s="95"/>
    </row>
    <row r="24" spans="1:23" ht="9.9499999999999993" customHeight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V24" s="89"/>
    </row>
    <row r="25" spans="1:23" s="9" customFormat="1" ht="9" customHeight="1"/>
    <row r="26" spans="1:23" s="9" customFormat="1" ht="9" customHeight="1">
      <c r="A26" s="18" t="s">
        <v>19</v>
      </c>
    </row>
    <row r="27" spans="1:23" ht="11.1" customHeight="1">
      <c r="A27" s="18" t="s">
        <v>47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23" ht="11.1" customHeight="1">
      <c r="A28" s="24"/>
    </row>
    <row r="29" spans="1:23" s="9" customFormat="1" ht="11.1" customHeight="1"/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V26"/>
  <sheetViews>
    <sheetView zoomScaleNormal="100" workbookViewId="0"/>
  </sheetViews>
  <sheetFormatPr baseColWidth="10" defaultColWidth="11.42578125" defaultRowHeight="9"/>
  <cols>
    <col min="1" max="1" width="29.28515625" style="9" customWidth="1"/>
    <col min="2" max="2" width="7.28515625" style="9" customWidth="1"/>
    <col min="3" max="5" width="8.7109375" style="9" customWidth="1"/>
    <col min="6" max="6" width="7.7109375" style="9" customWidth="1"/>
    <col min="7" max="7" width="9.85546875" style="9" customWidth="1"/>
    <col min="8" max="9" width="7.7109375" style="9" customWidth="1"/>
    <col min="10" max="10" width="8.7109375" style="9" customWidth="1"/>
    <col min="11" max="13" width="7.7109375" style="9" customWidth="1"/>
    <col min="14" max="14" width="9.42578125" style="9" customWidth="1"/>
    <col min="15" max="15" width="8.7109375" style="9" customWidth="1"/>
    <col min="16" max="16" width="7.7109375" style="9" customWidth="1"/>
    <col min="17" max="17" width="10" style="9" customWidth="1"/>
    <col min="18" max="22" width="7.7109375" style="9" customWidth="1"/>
    <col min="23" max="16384" width="11.42578125" style="9"/>
  </cols>
  <sheetData>
    <row r="1" spans="1:22" ht="12.75" customHeight="1">
      <c r="A1" s="31" t="s">
        <v>127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45"/>
      <c r="M2" s="34"/>
      <c r="N2" s="34"/>
      <c r="O2" s="34"/>
      <c r="P2" s="34"/>
      <c r="Q2" s="34"/>
      <c r="R2" s="34"/>
      <c r="S2" s="34"/>
      <c r="T2" s="34"/>
      <c r="U2" s="34"/>
    </row>
    <row r="3" spans="1:22" ht="54.95" customHeight="1">
      <c r="A3" s="28"/>
      <c r="B3" s="49" t="s">
        <v>0</v>
      </c>
      <c r="C3" s="48" t="s">
        <v>96</v>
      </c>
      <c r="D3" s="77" t="s">
        <v>97</v>
      </c>
      <c r="E3" s="76" t="s">
        <v>9</v>
      </c>
      <c r="F3" s="76" t="s">
        <v>22</v>
      </c>
      <c r="G3" s="173" t="s">
        <v>136</v>
      </c>
      <c r="H3" s="173" t="s">
        <v>137</v>
      </c>
      <c r="I3" s="76" t="s">
        <v>10</v>
      </c>
      <c r="J3" s="76" t="s">
        <v>23</v>
      </c>
      <c r="K3" s="173" t="s">
        <v>24</v>
      </c>
      <c r="L3" s="77" t="s">
        <v>25</v>
      </c>
      <c r="M3" s="78" t="s">
        <v>11</v>
      </c>
      <c r="N3" s="77" t="s">
        <v>52</v>
      </c>
      <c r="O3" s="77" t="s">
        <v>95</v>
      </c>
      <c r="P3" s="79" t="s">
        <v>12</v>
      </c>
      <c r="Q3" s="77" t="s">
        <v>138</v>
      </c>
      <c r="R3" s="77" t="s">
        <v>139</v>
      </c>
      <c r="S3" s="77" t="s">
        <v>140</v>
      </c>
      <c r="T3" s="77" t="s">
        <v>13</v>
      </c>
      <c r="U3" s="77" t="s">
        <v>141</v>
      </c>
      <c r="V3" s="77" t="s">
        <v>108</v>
      </c>
    </row>
    <row r="4" spans="1:22" ht="12" customHeight="1">
      <c r="A4" s="8"/>
    </row>
    <row r="5" spans="1:22" ht="12" customHeight="1">
      <c r="A5" s="80" t="s">
        <v>18</v>
      </c>
      <c r="B5" s="105">
        <v>100</v>
      </c>
      <c r="C5" s="105">
        <v>100</v>
      </c>
      <c r="D5" s="105">
        <v>100.00000000000001</v>
      </c>
      <c r="E5" s="105">
        <v>100.00000000000003</v>
      </c>
      <c r="F5" s="105">
        <v>100.00000000000003</v>
      </c>
      <c r="G5" s="105">
        <v>100</v>
      </c>
      <c r="H5" s="105">
        <v>99.999999999999986</v>
      </c>
      <c r="I5" s="105">
        <v>100</v>
      </c>
      <c r="J5" s="105">
        <v>100</v>
      </c>
      <c r="K5" s="105">
        <v>100.00000000000001</v>
      </c>
      <c r="L5" s="105">
        <v>100</v>
      </c>
      <c r="M5" s="113">
        <v>100</v>
      </c>
      <c r="N5" s="113">
        <v>100</v>
      </c>
      <c r="O5" s="113">
        <v>99.999999999999986</v>
      </c>
      <c r="P5" s="113">
        <v>99.999999999999972</v>
      </c>
      <c r="Q5" s="113">
        <v>100.00000000000004</v>
      </c>
      <c r="R5" s="113">
        <v>99.999999999999986</v>
      </c>
      <c r="S5" s="113">
        <v>100.00000000000003</v>
      </c>
      <c r="T5" s="113">
        <v>100</v>
      </c>
      <c r="U5" s="113">
        <v>100</v>
      </c>
      <c r="V5" s="113">
        <v>99.999999999999986</v>
      </c>
    </row>
    <row r="6" spans="1:22" ht="12" customHeight="1">
      <c r="A6" s="10"/>
      <c r="B6" s="70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14"/>
      <c r="N6" s="114"/>
      <c r="O6" s="114"/>
      <c r="P6" s="114"/>
      <c r="Q6" s="114"/>
      <c r="R6" s="114"/>
      <c r="S6" s="114"/>
      <c r="T6" s="114"/>
      <c r="U6" s="114"/>
      <c r="V6" s="114"/>
    </row>
    <row r="7" spans="1:22" ht="12" customHeight="1">
      <c r="A7" s="11" t="s">
        <v>14</v>
      </c>
      <c r="B7" s="105">
        <v>74.188063208253467</v>
      </c>
      <c r="C7" s="105">
        <v>26.27384928975594</v>
      </c>
      <c r="D7" s="105">
        <v>26.616925080400602</v>
      </c>
      <c r="E7" s="105">
        <v>73.747215658288539</v>
      </c>
      <c r="F7" s="105">
        <v>77.112950748372313</v>
      </c>
      <c r="G7" s="105">
        <v>77.678438839536824</v>
      </c>
      <c r="H7" s="105">
        <v>89.401506399696373</v>
      </c>
      <c r="I7" s="105">
        <v>81.521825973831099</v>
      </c>
      <c r="J7" s="105">
        <v>81.710124111796517</v>
      </c>
      <c r="K7" s="105">
        <v>75.252444039513747</v>
      </c>
      <c r="L7" s="105">
        <v>87.789952935655222</v>
      </c>
      <c r="M7" s="113">
        <v>76.128260358923484</v>
      </c>
      <c r="N7" s="113">
        <v>75.139743100653689</v>
      </c>
      <c r="O7" s="113">
        <v>85.592776918678666</v>
      </c>
      <c r="P7" s="113">
        <v>77.107988233694641</v>
      </c>
      <c r="Q7" s="113">
        <v>67.568146005731393</v>
      </c>
      <c r="R7" s="113">
        <v>79.760753957689886</v>
      </c>
      <c r="S7" s="113">
        <v>86.656583823032207</v>
      </c>
      <c r="T7" s="113">
        <v>80.742221924485975</v>
      </c>
      <c r="U7" s="113">
        <v>84.101614201603638</v>
      </c>
      <c r="V7" s="113">
        <v>76.499942153410132</v>
      </c>
    </row>
    <row r="8" spans="1:22" ht="12" customHeight="1">
      <c r="A8" s="12" t="s">
        <v>85</v>
      </c>
      <c r="B8" s="107">
        <v>32.067068592008482</v>
      </c>
      <c r="C8" s="107">
        <v>6.733760883411442</v>
      </c>
      <c r="D8" s="107">
        <v>7.8788238709945704</v>
      </c>
      <c r="E8" s="107">
        <v>28.512362103363575</v>
      </c>
      <c r="F8" s="107">
        <v>29.441909175040966</v>
      </c>
      <c r="G8" s="107">
        <v>28.273847941192706</v>
      </c>
      <c r="H8" s="107">
        <v>37.601709088027626</v>
      </c>
      <c r="I8" s="107">
        <v>31.142706363022302</v>
      </c>
      <c r="J8" s="107">
        <v>35.065946812090708</v>
      </c>
      <c r="K8" s="107">
        <v>27.174290394298399</v>
      </c>
      <c r="L8" s="107">
        <v>35.063958051006288</v>
      </c>
      <c r="M8" s="114">
        <v>35.089925037397222</v>
      </c>
      <c r="N8" s="114">
        <v>36.211306208854978</v>
      </c>
      <c r="O8" s="114">
        <v>35.219834149292517</v>
      </c>
      <c r="P8" s="114">
        <v>33.683422701945283</v>
      </c>
      <c r="Q8" s="114">
        <v>29.408246605318823</v>
      </c>
      <c r="R8" s="114">
        <v>36.416833805011208</v>
      </c>
      <c r="S8" s="114">
        <v>34.456125600336563</v>
      </c>
      <c r="T8" s="114">
        <v>32.06148186501197</v>
      </c>
      <c r="U8" s="114">
        <v>32.47680052334173</v>
      </c>
      <c r="V8" s="114">
        <v>46.818059601460362</v>
      </c>
    </row>
    <row r="9" spans="1:22" ht="12" customHeight="1">
      <c r="A9" s="13" t="s">
        <v>86</v>
      </c>
      <c r="B9" s="107">
        <v>29.33492802238499</v>
      </c>
      <c r="C9" s="107">
        <v>8.5578245552098799</v>
      </c>
      <c r="D9" s="107">
        <v>6.0518684937092804</v>
      </c>
      <c r="E9" s="107">
        <v>32.6835307805759</v>
      </c>
      <c r="F9" s="107">
        <v>34.878434059196131</v>
      </c>
      <c r="G9" s="107">
        <v>33.064425208593924</v>
      </c>
      <c r="H9" s="107">
        <v>39.918653582286872</v>
      </c>
      <c r="I9" s="107">
        <v>37.09734073665436</v>
      </c>
      <c r="J9" s="107">
        <v>30.789647145225047</v>
      </c>
      <c r="K9" s="107">
        <v>32.529744712702104</v>
      </c>
      <c r="L9" s="107">
        <v>35.20728250611355</v>
      </c>
      <c r="M9" s="114">
        <v>30.31130481812275</v>
      </c>
      <c r="N9" s="114">
        <v>29.439274425272981</v>
      </c>
      <c r="O9" s="114">
        <v>36.583944828822652</v>
      </c>
      <c r="P9" s="114">
        <v>32.072700611455176</v>
      </c>
      <c r="Q9" s="114">
        <v>27.975300189881835</v>
      </c>
      <c r="R9" s="114">
        <v>34.165917305240455</v>
      </c>
      <c r="S9" s="114">
        <v>37.636273708044399</v>
      </c>
      <c r="T9" s="114">
        <v>35.855160295352029</v>
      </c>
      <c r="U9" s="114">
        <v>35.974414765771343</v>
      </c>
      <c r="V9" s="114">
        <v>7.9111261914648034</v>
      </c>
    </row>
    <row r="10" spans="1:22" ht="12" customHeight="1">
      <c r="A10" s="13" t="s">
        <v>36</v>
      </c>
      <c r="B10" s="107">
        <v>2.2733012820152614</v>
      </c>
      <c r="C10" s="107">
        <v>0.13183261433995408</v>
      </c>
      <c r="D10" s="107">
        <v>0.15425049490486731</v>
      </c>
      <c r="E10" s="107">
        <v>2.5409431336522204</v>
      </c>
      <c r="F10" s="107">
        <v>2.2310838562837443</v>
      </c>
      <c r="G10" s="107">
        <v>2.5550764043122847</v>
      </c>
      <c r="H10" s="107">
        <v>2.760273087076742</v>
      </c>
      <c r="I10" s="107">
        <v>2.5692369405468556</v>
      </c>
      <c r="J10" s="107">
        <v>5.7887668441509215</v>
      </c>
      <c r="K10" s="107">
        <v>3.4918901408357423</v>
      </c>
      <c r="L10" s="107">
        <v>3.4363951042267109</v>
      </c>
      <c r="M10" s="114">
        <v>1.1006281597849139</v>
      </c>
      <c r="N10" s="114">
        <v>1.8170131659471866</v>
      </c>
      <c r="O10" s="114">
        <v>1.6402693913194499</v>
      </c>
      <c r="P10" s="114">
        <v>2.0119680238609163</v>
      </c>
      <c r="Q10" s="114">
        <v>1.9748647241034365</v>
      </c>
      <c r="R10" s="114">
        <v>2.195746230411554</v>
      </c>
      <c r="S10" s="114">
        <v>2.90454953399062</v>
      </c>
      <c r="T10" s="114">
        <v>2.1887876682037737</v>
      </c>
      <c r="U10" s="114">
        <v>3.6876851154693031</v>
      </c>
      <c r="V10" s="114">
        <v>4.870669837563316</v>
      </c>
    </row>
    <row r="11" spans="1:22" ht="12" customHeight="1">
      <c r="A11" s="12" t="s">
        <v>30</v>
      </c>
      <c r="B11" s="107">
        <v>2.9076726898679786</v>
      </c>
      <c r="C11" s="107">
        <v>2.3867969535359534E-2</v>
      </c>
      <c r="D11" s="107">
        <v>2.7926671496551814E-2</v>
      </c>
      <c r="E11" s="107">
        <v>4.4501905938262292</v>
      </c>
      <c r="F11" s="107">
        <v>5.5722472751531251</v>
      </c>
      <c r="G11" s="107">
        <v>4.8757704805662163</v>
      </c>
      <c r="H11" s="107">
        <v>2.7903009880013512</v>
      </c>
      <c r="I11" s="107">
        <v>1.2032300518996537</v>
      </c>
      <c r="J11" s="107">
        <v>0.89777686855614947</v>
      </c>
      <c r="K11" s="107">
        <v>4.3468984900313794</v>
      </c>
      <c r="L11" s="107">
        <v>8.3956202579891919</v>
      </c>
      <c r="M11" s="114">
        <v>1.5182193655791443</v>
      </c>
      <c r="N11" s="114">
        <v>1.2445403761413367</v>
      </c>
      <c r="O11" s="114">
        <v>3.8308597522129455</v>
      </c>
      <c r="P11" s="114">
        <v>1.7322120529673737</v>
      </c>
      <c r="Q11" s="114">
        <v>3.519383113558181</v>
      </c>
      <c r="R11" s="114">
        <v>3.0348004872930892</v>
      </c>
      <c r="S11" s="114">
        <v>3.8617825952240423</v>
      </c>
      <c r="T11" s="114">
        <v>3.7440352397946204</v>
      </c>
      <c r="U11" s="114">
        <v>4.8175429239032548</v>
      </c>
      <c r="V11" s="114">
        <v>0.80590049292827926</v>
      </c>
    </row>
    <row r="12" spans="1:22" ht="12" customHeight="1">
      <c r="A12" s="12" t="s">
        <v>31</v>
      </c>
      <c r="B12" s="107">
        <v>0.76340406258171434</v>
      </c>
      <c r="C12" s="107">
        <v>0</v>
      </c>
      <c r="D12" s="107">
        <v>0</v>
      </c>
      <c r="E12" s="107">
        <v>1.0658047992083959</v>
      </c>
      <c r="F12" s="107">
        <v>0.94964061125517929</v>
      </c>
      <c r="G12" s="107">
        <v>0</v>
      </c>
      <c r="H12" s="107">
        <v>1.6024264212163801</v>
      </c>
      <c r="I12" s="107">
        <v>0.89215400643002207</v>
      </c>
      <c r="J12" s="107">
        <v>3.0586327194159302</v>
      </c>
      <c r="K12" s="107">
        <v>0.65210795669406729</v>
      </c>
      <c r="L12" s="107">
        <v>1.4760316548162165</v>
      </c>
      <c r="M12" s="114">
        <v>0.43080939452401407</v>
      </c>
      <c r="N12" s="114">
        <v>0.42204908596166368</v>
      </c>
      <c r="O12" s="114">
        <v>1.2368831726640095</v>
      </c>
      <c r="P12" s="114">
        <v>0</v>
      </c>
      <c r="Q12" s="114">
        <v>0.8434912081169591</v>
      </c>
      <c r="R12" s="114">
        <v>0.74451331629263939</v>
      </c>
      <c r="S12" s="114">
        <v>0.78491377372465732</v>
      </c>
      <c r="T12" s="114">
        <v>1.1915757327791847</v>
      </c>
      <c r="U12" s="114">
        <v>0.94253465259108316</v>
      </c>
      <c r="V12" s="114">
        <v>0.74252957062186664</v>
      </c>
    </row>
    <row r="13" spans="1:22" ht="12" customHeight="1">
      <c r="A13" s="12" t="s">
        <v>32</v>
      </c>
      <c r="B13" s="107">
        <v>0.20608255385583626</v>
      </c>
      <c r="C13" s="107">
        <v>3.9687484126228685</v>
      </c>
      <c r="D13" s="107">
        <v>4.6436263883940292</v>
      </c>
      <c r="E13" s="107">
        <v>0</v>
      </c>
      <c r="F13" s="107">
        <v>0</v>
      </c>
      <c r="G13" s="107">
        <v>0</v>
      </c>
      <c r="H13" s="107">
        <v>0</v>
      </c>
      <c r="I13" s="107">
        <v>0</v>
      </c>
      <c r="J13" s="107">
        <v>0</v>
      </c>
      <c r="K13" s="107">
        <v>0</v>
      </c>
      <c r="L13" s="107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</row>
    <row r="14" spans="1:22" ht="12" customHeight="1">
      <c r="A14" s="13" t="s">
        <v>87</v>
      </c>
      <c r="B14" s="107">
        <v>2.3256274389398883</v>
      </c>
      <c r="C14" s="107">
        <v>0</v>
      </c>
      <c r="D14" s="107">
        <v>0</v>
      </c>
      <c r="E14" s="107">
        <v>1.0782253235947936</v>
      </c>
      <c r="F14" s="107">
        <v>1.778224606520012</v>
      </c>
      <c r="G14" s="107">
        <v>6.7842606183261838</v>
      </c>
      <c r="H14" s="107">
        <v>1.1365769027054304</v>
      </c>
      <c r="I14" s="107">
        <v>5.6487307472865567</v>
      </c>
      <c r="J14" s="107">
        <v>3.6264159190365195</v>
      </c>
      <c r="K14" s="107">
        <v>3.2697334216337302</v>
      </c>
      <c r="L14" s="107">
        <v>2.2415093973674471</v>
      </c>
      <c r="M14" s="114">
        <v>1.2929042430717042</v>
      </c>
      <c r="N14" s="114">
        <v>3.1306871615799823</v>
      </c>
      <c r="O14" s="114">
        <v>2.6523242104006708</v>
      </c>
      <c r="P14" s="114">
        <v>6.123264796661152</v>
      </c>
      <c r="Q14" s="114">
        <v>0.54356996448913186</v>
      </c>
      <c r="R14" s="114">
        <v>1.4275261741290959</v>
      </c>
      <c r="S14" s="114">
        <v>2.5063695475245247</v>
      </c>
      <c r="T14" s="114">
        <v>1.9875897788101649</v>
      </c>
      <c r="U14" s="114">
        <v>1.9554518699745467</v>
      </c>
      <c r="V14" s="114">
        <v>4.8699225197234792</v>
      </c>
    </row>
    <row r="15" spans="1:22" ht="12" customHeight="1">
      <c r="A15" s="13" t="s">
        <v>35</v>
      </c>
      <c r="B15" s="107">
        <v>0.59245053389290625</v>
      </c>
      <c r="C15" s="107">
        <v>0.12512723159423436</v>
      </c>
      <c r="D15" s="107">
        <v>0.12296141480003499</v>
      </c>
      <c r="E15" s="107">
        <v>1.7797318828588287</v>
      </c>
      <c r="F15" s="107">
        <v>1.283449477921628E-2</v>
      </c>
      <c r="G15" s="107">
        <v>0</v>
      </c>
      <c r="H15" s="107">
        <v>2.1211375569800275</v>
      </c>
      <c r="I15" s="107">
        <v>0</v>
      </c>
      <c r="J15" s="107">
        <v>3.0689612471002905E-2</v>
      </c>
      <c r="K15" s="107">
        <v>0.57489969191889823</v>
      </c>
      <c r="L15" s="107">
        <v>0</v>
      </c>
      <c r="M15" s="114">
        <v>0.45292474870538135</v>
      </c>
      <c r="N15" s="114">
        <v>4.2440291943118671E-2</v>
      </c>
      <c r="O15" s="114">
        <v>7.1625907269184497E-2</v>
      </c>
      <c r="P15" s="114">
        <v>0</v>
      </c>
      <c r="Q15" s="114">
        <v>0.76663311044289717</v>
      </c>
      <c r="R15" s="114">
        <v>0.31393318257431807</v>
      </c>
      <c r="S15" s="114">
        <v>0.87981333349801472</v>
      </c>
      <c r="T15" s="114">
        <v>0.50174024206472068</v>
      </c>
      <c r="U15" s="114">
        <v>1.303347250475718</v>
      </c>
      <c r="V15" s="114">
        <v>0.11596785842909417</v>
      </c>
    </row>
    <row r="16" spans="1:22" ht="12" customHeight="1">
      <c r="A16" s="12" t="s">
        <v>33</v>
      </c>
      <c r="B16" s="107">
        <v>1.0936580333575503</v>
      </c>
      <c r="C16" s="107">
        <v>3.5332222285205366</v>
      </c>
      <c r="D16" s="107">
        <v>3.9939394620960962</v>
      </c>
      <c r="E16" s="107">
        <v>3.4371725022905829E-2</v>
      </c>
      <c r="F16" s="107">
        <v>0.33675281314074373</v>
      </c>
      <c r="G16" s="107">
        <v>0</v>
      </c>
      <c r="H16" s="107">
        <v>0</v>
      </c>
      <c r="I16" s="107">
        <v>2.5142891966681361E-3</v>
      </c>
      <c r="J16" s="107">
        <v>9.0399563330076968E-2</v>
      </c>
      <c r="K16" s="107">
        <v>0.17865846102595404</v>
      </c>
      <c r="L16" s="107">
        <v>0.21667553901538825</v>
      </c>
      <c r="M16" s="114">
        <v>8.8240034713994484E-2</v>
      </c>
      <c r="N16" s="114">
        <v>0.76152246533632539</v>
      </c>
      <c r="O16" s="114">
        <v>0.84183561649617566</v>
      </c>
      <c r="P16" s="114">
        <v>0.20484780057731047</v>
      </c>
      <c r="Q16" s="114">
        <v>0.10002799887869691</v>
      </c>
      <c r="R16" s="114">
        <v>0</v>
      </c>
      <c r="S16" s="114">
        <v>0.47658897533313949</v>
      </c>
      <c r="T16" s="114">
        <v>0.1862557701511405</v>
      </c>
      <c r="U16" s="114">
        <v>0.4337244636587218</v>
      </c>
      <c r="V16" s="114">
        <v>9.785367795329261</v>
      </c>
    </row>
    <row r="17" spans="1:22" ht="12" customHeight="1">
      <c r="A17" s="14" t="s">
        <v>88</v>
      </c>
      <c r="B17" s="107">
        <v>0.32502381945652264</v>
      </c>
      <c r="C17" s="107">
        <v>0.11790297994557201</v>
      </c>
      <c r="D17" s="107">
        <v>0.13795215317861884</v>
      </c>
      <c r="E17" s="107">
        <v>0.28155811843531636</v>
      </c>
      <c r="F17" s="107">
        <v>0.10933724006448725</v>
      </c>
      <c r="G17" s="107">
        <v>0.19718421151834808</v>
      </c>
      <c r="H17" s="107">
        <v>6.5998823907213788E-2</v>
      </c>
      <c r="I17" s="107">
        <v>7.5959015505015701E-2</v>
      </c>
      <c r="J17" s="107">
        <v>5.5187520364890115E-2</v>
      </c>
      <c r="K17" s="107">
        <v>0.94566402501577052</v>
      </c>
      <c r="L17" s="107">
        <v>9.0299596417109038E-2</v>
      </c>
      <c r="M17" s="114">
        <v>0.57619430470096478</v>
      </c>
      <c r="N17" s="114">
        <v>0.46075782487459238</v>
      </c>
      <c r="O17" s="114">
        <v>0.6527029074993852</v>
      </c>
      <c r="P17" s="114">
        <v>0.23137171997900366</v>
      </c>
      <c r="Q17" s="114">
        <v>0.17714324630581502</v>
      </c>
      <c r="R17" s="114">
        <v>1.8566783089371163E-2</v>
      </c>
      <c r="S17" s="114">
        <v>0.34943920006719131</v>
      </c>
      <c r="T17" s="114">
        <v>0.60817512240955263</v>
      </c>
      <c r="U17" s="114">
        <v>0.14898424165471136</v>
      </c>
      <c r="V17" s="114">
        <v>4.1584569135640188E-2</v>
      </c>
    </row>
    <row r="18" spans="1:22" ht="12" customHeight="1">
      <c r="A18" s="14" t="s">
        <v>34</v>
      </c>
      <c r="B18" s="107">
        <v>9.9965784852581202E-2</v>
      </c>
      <c r="C18" s="107">
        <v>0</v>
      </c>
      <c r="D18" s="107">
        <v>0</v>
      </c>
      <c r="E18" s="107">
        <v>0.41097477284716794</v>
      </c>
      <c r="F18" s="107">
        <v>0</v>
      </c>
      <c r="G18" s="107">
        <v>0.24655858032675551</v>
      </c>
      <c r="H18" s="107">
        <v>0.2914166079315364</v>
      </c>
      <c r="I18" s="107">
        <v>0</v>
      </c>
      <c r="J18" s="107">
        <v>0.13061097224171397</v>
      </c>
      <c r="K18" s="107">
        <v>1.6877873046230681E-2</v>
      </c>
      <c r="L18" s="107">
        <v>0</v>
      </c>
      <c r="M18" s="114">
        <v>0</v>
      </c>
      <c r="N18" s="114">
        <v>3.5840004750820005E-2</v>
      </c>
      <c r="O18" s="114">
        <v>9.7303669553034891E-2</v>
      </c>
      <c r="P18" s="114">
        <v>5.1240908858662032E-2</v>
      </c>
      <c r="Q18" s="114">
        <v>0</v>
      </c>
      <c r="R18" s="114">
        <v>0</v>
      </c>
      <c r="S18" s="114">
        <v>5.7867446325396463E-2</v>
      </c>
      <c r="T18" s="114">
        <v>9.1081025921362885E-2</v>
      </c>
      <c r="U18" s="114">
        <v>0.38144983941806332</v>
      </c>
      <c r="V18" s="114">
        <v>2.1740155340673455E-2</v>
      </c>
    </row>
    <row r="19" spans="1:22" ht="12" customHeight="1">
      <c r="A19" s="14" t="s">
        <v>94</v>
      </c>
      <c r="B19" s="107">
        <v>2.1594454149415903</v>
      </c>
      <c r="C19" s="107">
        <v>3.0815624145760929</v>
      </c>
      <c r="D19" s="107">
        <v>3.6055761308265484</v>
      </c>
      <c r="E19" s="107">
        <v>0.9095224249031949</v>
      </c>
      <c r="F19" s="107">
        <v>1.8024866169386884</v>
      </c>
      <c r="G19" s="107">
        <v>1.6813153947004034</v>
      </c>
      <c r="H19" s="107">
        <v>1.1130133415632024</v>
      </c>
      <c r="I19" s="107">
        <v>2.8899538232896651</v>
      </c>
      <c r="J19" s="107">
        <v>2.1760501349135382</v>
      </c>
      <c r="K19" s="107">
        <v>2.0716788723114532</v>
      </c>
      <c r="L19" s="107">
        <v>1.6621808287033291</v>
      </c>
      <c r="M19" s="114">
        <v>5.2671102523233957</v>
      </c>
      <c r="N19" s="114">
        <v>1.5743120899906933</v>
      </c>
      <c r="O19" s="114">
        <v>2.7651933131486701</v>
      </c>
      <c r="P19" s="114">
        <v>0.99695961738977645</v>
      </c>
      <c r="Q19" s="114">
        <v>2.259485844635611</v>
      </c>
      <c r="R19" s="114">
        <v>1.4429166736481496</v>
      </c>
      <c r="S19" s="114">
        <v>2.7428601089636353</v>
      </c>
      <c r="T19" s="114">
        <v>2.326339183987447</v>
      </c>
      <c r="U19" s="114">
        <v>1.9796785553451512</v>
      </c>
      <c r="V19" s="114">
        <v>0</v>
      </c>
    </row>
    <row r="20" spans="1:22" ht="12" customHeight="1">
      <c r="A20" s="10" t="s">
        <v>37</v>
      </c>
      <c r="B20" s="107">
        <v>3.9434980098175462E-2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0.51707356141335437</v>
      </c>
    </row>
    <row r="21" spans="1:22" ht="12" customHeight="1">
      <c r="A21" s="11" t="s">
        <v>89</v>
      </c>
      <c r="B21" s="105">
        <v>19.763119581258117</v>
      </c>
      <c r="C21" s="105">
        <v>8.9772187459027926</v>
      </c>
      <c r="D21" s="105">
        <v>10.50377739497721</v>
      </c>
      <c r="E21" s="105">
        <v>21.924336215973792</v>
      </c>
      <c r="F21" s="105">
        <v>21.479341687459332</v>
      </c>
      <c r="G21" s="105">
        <v>22.053569511058811</v>
      </c>
      <c r="H21" s="105">
        <v>10.212927011348045</v>
      </c>
      <c r="I21" s="105">
        <v>17.556306968618436</v>
      </c>
      <c r="J21" s="105">
        <v>17.961351924615514</v>
      </c>
      <c r="K21" s="105">
        <v>24.381822971657929</v>
      </c>
      <c r="L21" s="105">
        <v>12.210047064344783</v>
      </c>
      <c r="M21" s="113">
        <v>22.597341245983731</v>
      </c>
      <c r="N21" s="113">
        <v>24.328357196792155</v>
      </c>
      <c r="O21" s="113">
        <v>14.020186983628024</v>
      </c>
      <c r="P21" s="113">
        <v>22.261175924678078</v>
      </c>
      <c r="Q21" s="113">
        <v>30.370792596351116</v>
      </c>
      <c r="R21" s="113">
        <v>19.946911867739491</v>
      </c>
      <c r="S21" s="113">
        <v>12.64188967103024</v>
      </c>
      <c r="T21" s="113">
        <v>16.089069146207468</v>
      </c>
      <c r="U21" s="113">
        <v>15.215162019568636</v>
      </c>
      <c r="V21" s="113">
        <v>0.8483379827083225</v>
      </c>
    </row>
    <row r="22" spans="1:22" ht="12" customHeight="1">
      <c r="A22" s="15" t="s">
        <v>15</v>
      </c>
      <c r="B22" s="105">
        <v>1.6878022363099707</v>
      </c>
      <c r="C22" s="105">
        <v>0</v>
      </c>
      <c r="D22" s="105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105">
        <v>2.1140755862864343E-2</v>
      </c>
      <c r="K22" s="105">
        <v>0</v>
      </c>
      <c r="L22" s="105">
        <v>0</v>
      </c>
      <c r="M22" s="113">
        <v>0</v>
      </c>
      <c r="N22" s="113">
        <v>0</v>
      </c>
      <c r="O22" s="113">
        <v>0</v>
      </c>
      <c r="P22" s="113">
        <v>0</v>
      </c>
      <c r="Q22" s="113">
        <v>0</v>
      </c>
      <c r="R22" s="113">
        <v>0</v>
      </c>
      <c r="S22" s="113">
        <v>0</v>
      </c>
      <c r="T22" s="113">
        <v>0</v>
      </c>
      <c r="U22" s="113">
        <v>0</v>
      </c>
      <c r="V22" s="113">
        <v>22.127156003697497</v>
      </c>
    </row>
    <row r="23" spans="1:22" ht="12" customHeight="1">
      <c r="A23" s="15" t="s">
        <v>16</v>
      </c>
      <c r="B23" s="105">
        <v>4.361014974178425</v>
      </c>
      <c r="C23" s="105">
        <v>64.748931964341267</v>
      </c>
      <c r="D23" s="105">
        <v>62.879297524622203</v>
      </c>
      <c r="E23" s="105">
        <v>4.3284481257376983</v>
      </c>
      <c r="F23" s="105">
        <v>1.4077075641683865</v>
      </c>
      <c r="G23" s="105">
        <v>0.2679916494043682</v>
      </c>
      <c r="H23" s="105">
        <v>0.38556658895557122</v>
      </c>
      <c r="I23" s="105">
        <v>0.92186705755046117</v>
      </c>
      <c r="J23" s="105">
        <v>0.30738320772510952</v>
      </c>
      <c r="K23" s="105">
        <v>0.36573298882834832</v>
      </c>
      <c r="L23" s="105">
        <v>0</v>
      </c>
      <c r="M23" s="113">
        <v>1.2743983950927846</v>
      </c>
      <c r="N23" s="113">
        <v>0.53189970255415775</v>
      </c>
      <c r="O23" s="113">
        <v>0.38703609769329156</v>
      </c>
      <c r="P23" s="113">
        <v>0.63083584162725892</v>
      </c>
      <c r="Q23" s="113">
        <v>2.0610613979175265</v>
      </c>
      <c r="R23" s="113">
        <v>0.292334174570615</v>
      </c>
      <c r="S23" s="113">
        <v>0.70152650593757304</v>
      </c>
      <c r="T23" s="113">
        <v>3.1687089293065562</v>
      </c>
      <c r="U23" s="113">
        <v>0.68322377882772933</v>
      </c>
      <c r="V23" s="113">
        <v>0.52456386018404166</v>
      </c>
    </row>
    <row r="24" spans="1:22" ht="12" customHeight="1">
      <c r="A24" s="15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spans="1:22">
      <c r="A25" s="9" t="s">
        <v>19</v>
      </c>
    </row>
    <row r="26" spans="1:22">
      <c r="A26" s="9" t="s">
        <v>47</v>
      </c>
    </row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Z56"/>
  <sheetViews>
    <sheetView zoomScaleNormal="100" workbookViewId="0"/>
  </sheetViews>
  <sheetFormatPr baseColWidth="10" defaultColWidth="11.42578125" defaultRowHeight="12.75"/>
  <cols>
    <col min="1" max="1" width="33.28515625" style="137" customWidth="1"/>
    <col min="2" max="4" width="9.7109375" style="137" customWidth="1"/>
    <col min="5" max="5" width="11.7109375" style="137" customWidth="1"/>
    <col min="6" max="6" width="9.7109375" style="137" customWidth="1"/>
    <col min="7" max="7" width="11.140625" style="137" customWidth="1"/>
    <col min="8" max="9" width="9.7109375" style="137" customWidth="1"/>
    <col min="10" max="16384" width="11.42578125" style="137"/>
  </cols>
  <sheetData>
    <row r="1" spans="1:26" ht="13.15" customHeight="1">
      <c r="A1" s="56" t="s">
        <v>128</v>
      </c>
      <c r="B1" s="136"/>
    </row>
    <row r="2" spans="1:26" ht="9.6" customHeight="1" thickBot="1">
      <c r="A2" s="17"/>
      <c r="B2" s="17"/>
      <c r="C2" s="17"/>
      <c r="D2" s="17"/>
      <c r="E2" s="17"/>
      <c r="F2" s="17"/>
      <c r="G2" s="17"/>
      <c r="H2" s="17"/>
      <c r="I2" s="17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 spans="1:26" ht="16.899999999999999" customHeight="1" thickBot="1">
      <c r="A3" s="34"/>
      <c r="B3" s="182" t="s">
        <v>115</v>
      </c>
      <c r="C3" s="182"/>
      <c r="D3" s="182"/>
      <c r="E3" s="182"/>
      <c r="F3" s="182"/>
      <c r="G3" s="182"/>
      <c r="H3" s="183"/>
      <c r="I3" s="184" t="s">
        <v>116</v>
      </c>
      <c r="J3" s="182"/>
      <c r="K3" s="182"/>
      <c r="L3" s="182"/>
      <c r="M3" s="182"/>
      <c r="N3" s="182"/>
      <c r="O3" s="182"/>
      <c r="P3" s="182"/>
      <c r="Q3" s="182"/>
      <c r="R3" s="182"/>
      <c r="S3" s="183"/>
      <c r="T3" s="180" t="s">
        <v>117</v>
      </c>
      <c r="U3" s="181"/>
      <c r="V3" s="181"/>
      <c r="W3" s="181"/>
      <c r="X3" s="181"/>
      <c r="Y3" s="181"/>
      <c r="Z3" s="181"/>
    </row>
    <row r="4" spans="1:26" ht="15" customHeight="1">
      <c r="A4" s="200"/>
      <c r="B4" s="202" t="s">
        <v>110</v>
      </c>
      <c r="C4" s="205" t="s">
        <v>8</v>
      </c>
      <c r="D4" s="205"/>
      <c r="E4" s="205"/>
      <c r="F4" s="205"/>
      <c r="G4" s="206" t="s">
        <v>78</v>
      </c>
      <c r="H4" s="209" t="s">
        <v>58</v>
      </c>
      <c r="I4" s="190" t="s">
        <v>110</v>
      </c>
      <c r="J4" s="196" t="s">
        <v>8</v>
      </c>
      <c r="K4" s="196"/>
      <c r="L4" s="196"/>
      <c r="M4" s="196"/>
      <c r="N4" s="196"/>
      <c r="O4" s="196"/>
      <c r="P4" s="196" t="s">
        <v>111</v>
      </c>
      <c r="Q4" s="196"/>
      <c r="R4" s="196"/>
      <c r="S4" s="197" t="s">
        <v>58</v>
      </c>
      <c r="T4" s="193" t="s">
        <v>53</v>
      </c>
      <c r="U4" s="195" t="s">
        <v>8</v>
      </c>
      <c r="V4" s="195"/>
      <c r="W4" s="195"/>
      <c r="X4" s="195"/>
      <c r="Y4" s="185" t="s">
        <v>78</v>
      </c>
      <c r="Z4" s="185" t="s">
        <v>112</v>
      </c>
    </row>
    <row r="5" spans="1:26" ht="28.5" customHeight="1">
      <c r="A5" s="201"/>
      <c r="B5" s="203"/>
      <c r="C5" s="187" t="s">
        <v>5</v>
      </c>
      <c r="D5" s="188" t="s">
        <v>6</v>
      </c>
      <c r="E5" s="188" t="s">
        <v>42</v>
      </c>
      <c r="F5" s="187" t="s">
        <v>7</v>
      </c>
      <c r="G5" s="207"/>
      <c r="H5" s="210"/>
      <c r="I5" s="191"/>
      <c r="J5" s="189" t="s">
        <v>5</v>
      </c>
      <c r="K5" s="186" t="s">
        <v>6</v>
      </c>
      <c r="L5" s="186"/>
      <c r="M5" s="186"/>
      <c r="N5" s="186" t="s">
        <v>113</v>
      </c>
      <c r="O5" s="189" t="s">
        <v>7</v>
      </c>
      <c r="P5" s="186" t="s">
        <v>5</v>
      </c>
      <c r="Q5" s="186" t="s">
        <v>55</v>
      </c>
      <c r="R5" s="186" t="s">
        <v>119</v>
      </c>
      <c r="S5" s="198"/>
      <c r="T5" s="194"/>
      <c r="U5" s="189" t="s">
        <v>5</v>
      </c>
      <c r="V5" s="189" t="s">
        <v>6</v>
      </c>
      <c r="W5" s="186" t="s">
        <v>114</v>
      </c>
      <c r="X5" s="189" t="s">
        <v>7</v>
      </c>
      <c r="Y5" s="186"/>
      <c r="Z5" s="186"/>
    </row>
    <row r="6" spans="1:26" ht="18.75" customHeight="1">
      <c r="A6" s="140"/>
      <c r="B6" s="204"/>
      <c r="C6" s="187"/>
      <c r="D6" s="188"/>
      <c r="E6" s="188"/>
      <c r="F6" s="187"/>
      <c r="G6" s="208"/>
      <c r="H6" s="210"/>
      <c r="I6" s="192"/>
      <c r="J6" s="189"/>
      <c r="K6" s="139" t="s">
        <v>5</v>
      </c>
      <c r="L6" s="139" t="s">
        <v>56</v>
      </c>
      <c r="M6" s="139" t="s">
        <v>57</v>
      </c>
      <c r="N6" s="186"/>
      <c r="O6" s="189"/>
      <c r="P6" s="186"/>
      <c r="Q6" s="186"/>
      <c r="R6" s="186"/>
      <c r="S6" s="199"/>
      <c r="T6" s="194"/>
      <c r="U6" s="189"/>
      <c r="V6" s="189"/>
      <c r="W6" s="186"/>
      <c r="X6" s="189"/>
      <c r="Y6" s="186"/>
      <c r="Z6" s="186"/>
    </row>
    <row r="7" spans="1:26" s="141" customFormat="1" ht="10.5" customHeight="1">
      <c r="A7" s="19"/>
      <c r="B7" s="142"/>
      <c r="C7" s="142"/>
      <c r="D7" s="142"/>
      <c r="E7" s="142"/>
      <c r="F7" s="142"/>
      <c r="G7" s="142"/>
      <c r="H7" s="143"/>
      <c r="I7" s="144"/>
      <c r="J7" s="145"/>
      <c r="K7" s="145"/>
      <c r="L7" s="145"/>
      <c r="M7" s="145"/>
      <c r="N7" s="145"/>
      <c r="O7" s="145"/>
      <c r="P7" s="145"/>
      <c r="Q7" s="145"/>
      <c r="R7" s="145"/>
      <c r="S7" s="143"/>
      <c r="T7" s="145"/>
    </row>
    <row r="8" spans="1:26" s="141" customFormat="1" ht="9.75" customHeight="1">
      <c r="A8" s="81" t="s">
        <v>20</v>
      </c>
      <c r="B8" s="146">
        <v>48250081.406482913</v>
      </c>
      <c r="C8" s="147">
        <v>94.574025944254814</v>
      </c>
      <c r="D8" s="148">
        <v>63.900583029198238</v>
      </c>
      <c r="E8" s="148">
        <v>13.073337080742386</v>
      </c>
      <c r="F8" s="148">
        <v>17.600105834314196</v>
      </c>
      <c r="G8" s="148">
        <v>4.9476215494099938</v>
      </c>
      <c r="H8" s="149">
        <v>0.47835250633519538</v>
      </c>
      <c r="I8" s="150">
        <v>35795800.891875312</v>
      </c>
      <c r="J8" s="148">
        <v>98.085986408832497</v>
      </c>
      <c r="K8" s="148">
        <v>68.3</v>
      </c>
      <c r="L8" s="151" t="s">
        <v>65</v>
      </c>
      <c r="M8" s="151" t="s">
        <v>65</v>
      </c>
      <c r="N8" s="148">
        <v>17.576031024455254</v>
      </c>
      <c r="O8" s="148">
        <v>12.209955384377256</v>
      </c>
      <c r="P8" s="148">
        <v>2.4412284285013715</v>
      </c>
      <c r="Q8" s="151" t="s">
        <v>65</v>
      </c>
      <c r="R8" s="151" t="s">
        <v>65</v>
      </c>
      <c r="S8" s="149">
        <v>0.14762495556285785</v>
      </c>
      <c r="T8" s="152">
        <v>9535721.2864176091</v>
      </c>
      <c r="U8" s="148">
        <v>83.511688252957967</v>
      </c>
      <c r="V8" s="148">
        <v>65.39320437359315</v>
      </c>
      <c r="W8" s="148">
        <v>0</v>
      </c>
      <c r="X8" s="148">
        <v>18.11848387936482</v>
      </c>
      <c r="Y8" s="148">
        <v>14.673502986300624</v>
      </c>
      <c r="Z8" s="148">
        <v>1.8158574491100892</v>
      </c>
    </row>
    <row r="9" spans="1:26" s="141" customFormat="1" ht="9.75" customHeight="1">
      <c r="A9" s="81" t="s">
        <v>45</v>
      </c>
      <c r="B9" s="146">
        <v>44444696.181302913</v>
      </c>
      <c r="C9" s="147">
        <v>94.752289498657987</v>
      </c>
      <c r="D9" s="148">
        <v>66.326224424750905</v>
      </c>
      <c r="E9" s="148">
        <v>14.155752228665134</v>
      </c>
      <c r="F9" s="148">
        <v>14.270312845241945</v>
      </c>
      <c r="G9" s="148">
        <v>4.7308164505228962</v>
      </c>
      <c r="H9" s="149">
        <v>0.5168940508191272</v>
      </c>
      <c r="I9" s="150">
        <v>33224808.345005311</v>
      </c>
      <c r="J9" s="148">
        <v>97.741337731034108</v>
      </c>
      <c r="K9" s="148">
        <v>70</v>
      </c>
      <c r="L9" s="153">
        <v>62.5</v>
      </c>
      <c r="M9" s="153">
        <v>7.5</v>
      </c>
      <c r="N9" s="148">
        <v>18.936094393315091</v>
      </c>
      <c r="O9" s="148">
        <v>8.805243337719018</v>
      </c>
      <c r="P9" s="148">
        <v>2.1064925772172902</v>
      </c>
      <c r="Q9" s="153">
        <v>1.6</v>
      </c>
      <c r="R9" s="153">
        <v>0.5</v>
      </c>
      <c r="S9" s="149">
        <v>0.15771057161832253</v>
      </c>
      <c r="T9" s="152">
        <v>9504603.9204176087</v>
      </c>
      <c r="U9" s="148">
        <v>83.476605272736307</v>
      </c>
      <c r="V9" s="148">
        <v>65.473154814534041</v>
      </c>
      <c r="W9" s="148">
        <v>0</v>
      </c>
      <c r="X9" s="148">
        <v>18.003450458202263</v>
      </c>
      <c r="Y9" s="148">
        <v>14.701699086334958</v>
      </c>
      <c r="Z9" s="148">
        <v>1.821695640928749</v>
      </c>
    </row>
    <row r="10" spans="1:26" s="141" customFormat="1" ht="9.75" customHeight="1">
      <c r="A10" s="9" t="s">
        <v>144</v>
      </c>
      <c r="B10" s="154">
        <v>2212567.821</v>
      </c>
      <c r="C10" s="155">
        <v>94.857020339897645</v>
      </c>
      <c r="D10" s="153">
        <v>23.732522412021467</v>
      </c>
      <c r="E10" s="153">
        <v>0.88702365702533648</v>
      </c>
      <c r="F10" s="153">
        <v>70.237474270850839</v>
      </c>
      <c r="G10" s="153">
        <v>2.8602311937899234</v>
      </c>
      <c r="H10" s="156">
        <v>2.2827484663124364</v>
      </c>
      <c r="I10" s="157">
        <v>658278.11</v>
      </c>
      <c r="J10" s="153">
        <v>84.093084387995219</v>
      </c>
      <c r="K10" s="153">
        <v>60.5</v>
      </c>
      <c r="L10" s="151" t="s">
        <v>65</v>
      </c>
      <c r="M10" s="151" t="s">
        <v>65</v>
      </c>
      <c r="N10" s="153">
        <v>2.9814146485897886</v>
      </c>
      <c r="O10" s="153">
        <v>20.611669739405428</v>
      </c>
      <c r="P10" s="153">
        <v>8.8582620497588778</v>
      </c>
      <c r="Q10" s="151" t="s">
        <v>65</v>
      </c>
      <c r="R10" s="151" t="s">
        <v>65</v>
      </c>
      <c r="S10" s="156">
        <v>7.0295516890269978</v>
      </c>
      <c r="T10" s="158">
        <v>224919.71100000001</v>
      </c>
      <c r="U10" s="153">
        <v>95.907022573046078</v>
      </c>
      <c r="V10" s="153">
        <v>56.337505253152315</v>
      </c>
      <c r="W10" s="153">
        <v>0</v>
      </c>
      <c r="X10" s="153">
        <v>39.569517319893762</v>
      </c>
      <c r="Y10" s="153">
        <v>2.210813351080644</v>
      </c>
      <c r="Z10" s="153">
        <v>1.8821640758732792</v>
      </c>
    </row>
    <row r="11" spans="1:26" s="141" customFormat="1" ht="9.75" customHeight="1">
      <c r="A11" s="9" t="s">
        <v>54</v>
      </c>
      <c r="B11" s="154">
        <v>1848440.1410000001</v>
      </c>
      <c r="C11" s="155">
        <v>93.843895159167062</v>
      </c>
      <c r="D11" s="153">
        <v>28.407636382313338</v>
      </c>
      <c r="E11" s="153">
        <v>1.0617601059768371</v>
      </c>
      <c r="F11" s="153">
        <v>64.374498670876889</v>
      </c>
      <c r="G11" s="153">
        <v>3.4236734853509114</v>
      </c>
      <c r="H11" s="156">
        <v>2.7324313554820163</v>
      </c>
      <c r="I11" s="157">
        <v>569954.11</v>
      </c>
      <c r="J11" s="153">
        <v>81.652544428533034</v>
      </c>
      <c r="K11" s="153">
        <v>69.900000000000006</v>
      </c>
      <c r="L11" s="151" t="s">
        <v>65</v>
      </c>
      <c r="M11" s="151" t="s">
        <v>65</v>
      </c>
      <c r="N11" s="153">
        <v>3.4434351214696917</v>
      </c>
      <c r="O11" s="153">
        <v>8.3091093070633359</v>
      </c>
      <c r="P11" s="153">
        <v>10.230999123771561</v>
      </c>
      <c r="Q11" s="151" t="s">
        <v>65</v>
      </c>
      <c r="R11" s="151" t="s">
        <v>65</v>
      </c>
      <c r="S11" s="156">
        <v>8.1188992566436617</v>
      </c>
      <c r="T11" s="158">
        <v>224919.71100000001</v>
      </c>
      <c r="U11" s="153">
        <v>95.907022573046078</v>
      </c>
      <c r="V11" s="153">
        <v>56.337505253152315</v>
      </c>
      <c r="W11" s="153">
        <v>0</v>
      </c>
      <c r="X11" s="153">
        <v>39.569517319893762</v>
      </c>
      <c r="Y11" s="153">
        <v>2.210813351080644</v>
      </c>
      <c r="Z11" s="153">
        <v>1.8821640758732792</v>
      </c>
    </row>
    <row r="12" spans="1:26" s="141" customFormat="1" ht="9.75" customHeight="1">
      <c r="A12" s="82" t="s">
        <v>9</v>
      </c>
      <c r="B12" s="154">
        <v>8127868.1259999992</v>
      </c>
      <c r="C12" s="155">
        <v>94.791807341880116</v>
      </c>
      <c r="D12" s="153">
        <v>70.33076775340389</v>
      </c>
      <c r="E12" s="153">
        <v>10.200215937903128</v>
      </c>
      <c r="F12" s="153">
        <v>14.260823650573094</v>
      </c>
      <c r="G12" s="153">
        <v>4.9355739018052098</v>
      </c>
      <c r="H12" s="156">
        <v>0.27261875631469867</v>
      </c>
      <c r="I12" s="157">
        <v>6016200.5999999996</v>
      </c>
      <c r="J12" s="153">
        <v>98.335320693927656</v>
      </c>
      <c r="K12" s="153">
        <v>75.599999999999994</v>
      </c>
      <c r="L12" s="153">
        <v>69.3</v>
      </c>
      <c r="M12" s="153">
        <v>6.3</v>
      </c>
      <c r="N12" s="153">
        <v>13.780459714059404</v>
      </c>
      <c r="O12" s="153">
        <v>8.9548609798682577</v>
      </c>
      <c r="P12" s="153">
        <v>1.6783369889627686</v>
      </c>
      <c r="Q12" s="153">
        <v>0.8</v>
      </c>
      <c r="R12" s="153">
        <v>0.9</v>
      </c>
      <c r="S12" s="156">
        <v>1.2960006685947274E-3</v>
      </c>
      <c r="T12" s="158">
        <v>1788558.4359999998</v>
      </c>
      <c r="U12" s="153">
        <v>81.981861228938911</v>
      </c>
      <c r="V12" s="153">
        <v>65.36236230639993</v>
      </c>
      <c r="W12" s="153">
        <v>0</v>
      </c>
      <c r="X12" s="153">
        <v>16.61949892253898</v>
      </c>
      <c r="Y12" s="153">
        <v>16.783618133905918</v>
      </c>
      <c r="Z12" s="153">
        <v>1.2345206371551847</v>
      </c>
    </row>
    <row r="13" spans="1:26" s="141" customFormat="1" ht="9.75" customHeight="1">
      <c r="A13" s="82" t="s">
        <v>22</v>
      </c>
      <c r="B13" s="154">
        <v>1222645.45</v>
      </c>
      <c r="C13" s="155">
        <v>94.59741988161818</v>
      </c>
      <c r="D13" s="153">
        <v>71.877201195162513</v>
      </c>
      <c r="E13" s="153">
        <v>12.983820452609542</v>
      </c>
      <c r="F13" s="153">
        <v>9.7363982338461241</v>
      </c>
      <c r="G13" s="153">
        <v>5.120657832571168</v>
      </c>
      <c r="H13" s="156">
        <v>0.28192228581065759</v>
      </c>
      <c r="I13" s="157">
        <v>943236.36</v>
      </c>
      <c r="J13" s="153">
        <v>96.490179839971375</v>
      </c>
      <c r="K13" s="153">
        <v>72.8</v>
      </c>
      <c r="L13" s="153">
        <v>64.3</v>
      </c>
      <c r="M13" s="153">
        <v>8.5</v>
      </c>
      <c r="N13" s="153">
        <v>16.829937514283266</v>
      </c>
      <c r="O13" s="153">
        <v>6.8602423256881222</v>
      </c>
      <c r="P13" s="153">
        <v>3.5010832279620772</v>
      </c>
      <c r="Q13" s="153">
        <v>3.3</v>
      </c>
      <c r="R13" s="153">
        <v>0.2</v>
      </c>
      <c r="S13" s="156">
        <v>1.6093527183366849E-3</v>
      </c>
      <c r="T13" s="158">
        <v>262732.73</v>
      </c>
      <c r="U13" s="153">
        <v>87.433720191618306</v>
      </c>
      <c r="V13" s="153">
        <v>73.100915139122563</v>
      </c>
      <c r="W13" s="153">
        <v>0</v>
      </c>
      <c r="X13" s="153">
        <v>14.332805052495745</v>
      </c>
      <c r="Y13" s="153">
        <v>11.260112129920016</v>
      </c>
      <c r="Z13" s="153">
        <v>1.3061676784616825</v>
      </c>
    </row>
    <row r="14" spans="1:26" s="141" customFormat="1" ht="9.75" customHeight="1">
      <c r="A14" s="83" t="s">
        <v>136</v>
      </c>
      <c r="B14" s="154">
        <v>833483.06</v>
      </c>
      <c r="C14" s="155">
        <v>96.325014691960277</v>
      </c>
      <c r="D14" s="153">
        <v>74.923491666405312</v>
      </c>
      <c r="E14" s="153">
        <v>10.588817485984658</v>
      </c>
      <c r="F14" s="153">
        <v>10.812705539570297</v>
      </c>
      <c r="G14" s="153">
        <v>3.3654884359617334</v>
      </c>
      <c r="H14" s="156">
        <v>0.30949687207799997</v>
      </c>
      <c r="I14" s="157">
        <v>647436.62899999996</v>
      </c>
      <c r="J14" s="153">
        <v>99.268787747256113</v>
      </c>
      <c r="K14" s="153">
        <v>76.099999999999994</v>
      </c>
      <c r="L14" s="153">
        <v>69.2</v>
      </c>
      <c r="M14" s="153">
        <v>6.8</v>
      </c>
      <c r="N14" s="153">
        <v>13.631604399077027</v>
      </c>
      <c r="O14" s="153">
        <v>9.6371833481790858</v>
      </c>
      <c r="P14" s="153">
        <v>0.55106180901606039</v>
      </c>
      <c r="Q14" s="153">
        <v>0.4</v>
      </c>
      <c r="R14" s="153">
        <v>0.2</v>
      </c>
      <c r="S14" s="156">
        <v>0.11651333369338918</v>
      </c>
      <c r="T14" s="158">
        <v>183812.766</v>
      </c>
      <c r="U14" s="153">
        <v>85.687471783107839</v>
      </c>
      <c r="V14" s="153">
        <v>71.818060232008051</v>
      </c>
      <c r="W14" s="153">
        <v>0</v>
      </c>
      <c r="X14" s="153">
        <v>13.869411551099782</v>
      </c>
      <c r="Y14" s="153">
        <v>13.319531898018443</v>
      </c>
      <c r="Z14" s="153">
        <v>0.99299631887373907</v>
      </c>
    </row>
    <row r="15" spans="1:26" s="141" customFormat="1" ht="9.75" customHeight="1">
      <c r="A15" s="83" t="s">
        <v>137</v>
      </c>
      <c r="B15" s="154">
        <v>959108</v>
      </c>
      <c r="C15" s="155">
        <v>94.781609578900401</v>
      </c>
      <c r="D15" s="153">
        <v>67.476551128757137</v>
      </c>
      <c r="E15" s="153">
        <v>17.715835964250115</v>
      </c>
      <c r="F15" s="153">
        <v>9.5892224858931421</v>
      </c>
      <c r="G15" s="153">
        <v>4.8074877907388949</v>
      </c>
      <c r="H15" s="156">
        <v>0.41090263036071017</v>
      </c>
      <c r="I15" s="157">
        <v>857457</v>
      </c>
      <c r="J15" s="153">
        <v>96.492347604602912</v>
      </c>
      <c r="K15" s="153">
        <v>67.599999999999994</v>
      </c>
      <c r="L15" s="153">
        <v>62.9</v>
      </c>
      <c r="M15" s="153">
        <v>4.8</v>
      </c>
      <c r="N15" s="153">
        <v>19.816037422284733</v>
      </c>
      <c r="O15" s="153">
        <v>8.9763101823181799</v>
      </c>
      <c r="P15" s="153">
        <v>3.2177706870431986</v>
      </c>
      <c r="Q15" s="153">
        <v>3.2</v>
      </c>
      <c r="R15" s="153">
        <v>0.1</v>
      </c>
      <c r="S15" s="156">
        <v>0.34672292604760357</v>
      </c>
      <c r="T15" s="158">
        <v>97953</v>
      </c>
      <c r="U15" s="153">
        <v>80.106785907527083</v>
      </c>
      <c r="V15" s="153">
        <v>68.565536532826968</v>
      </c>
      <c r="W15" s="153">
        <v>0</v>
      </c>
      <c r="X15" s="153">
        <v>11.541249374700111</v>
      </c>
      <c r="Y15" s="153">
        <v>18.90498504384756</v>
      </c>
      <c r="Z15" s="153">
        <v>0.9882290486253611</v>
      </c>
    </row>
    <row r="16" spans="1:26" s="141" customFormat="1" ht="9.75" customHeight="1">
      <c r="A16" s="83" t="s">
        <v>10</v>
      </c>
      <c r="B16" s="154">
        <v>1710224.9039999999</v>
      </c>
      <c r="C16" s="155">
        <v>95.416386709335384</v>
      </c>
      <c r="D16" s="153">
        <v>75.737723264963051</v>
      </c>
      <c r="E16" s="153">
        <v>7.7158343146194772</v>
      </c>
      <c r="F16" s="153">
        <v>11.962829129752867</v>
      </c>
      <c r="G16" s="153">
        <v>3.899282535532532</v>
      </c>
      <c r="H16" s="156">
        <v>0.68433075513207475</v>
      </c>
      <c r="I16" s="157">
        <v>1394206.5700000003</v>
      </c>
      <c r="J16" s="153">
        <v>98.033249448824492</v>
      </c>
      <c r="K16" s="153">
        <v>77.900000000000006</v>
      </c>
      <c r="L16" s="153">
        <v>70.7</v>
      </c>
      <c r="M16" s="153">
        <v>7.3</v>
      </c>
      <c r="N16" s="153">
        <v>9.46474667667073</v>
      </c>
      <c r="O16" s="153">
        <v>10.568502772153769</v>
      </c>
      <c r="P16" s="153">
        <v>2.0252988766219913</v>
      </c>
      <c r="Q16" s="153">
        <v>1.4</v>
      </c>
      <c r="R16" s="153">
        <v>0.7</v>
      </c>
      <c r="S16" s="156">
        <v>2.5362095374432208E-3</v>
      </c>
      <c r="T16" s="158">
        <v>300252.33399999997</v>
      </c>
      <c r="U16" s="153">
        <v>84.702904590909867</v>
      </c>
      <c r="V16" s="153">
        <v>69.493523071164546</v>
      </c>
      <c r="W16" s="153">
        <v>0</v>
      </c>
      <c r="X16" s="153">
        <v>15.209381519745319</v>
      </c>
      <c r="Y16" s="153">
        <v>12.805779221686249</v>
      </c>
      <c r="Z16" s="153">
        <v>2.4913161874038923</v>
      </c>
    </row>
    <row r="17" spans="1:26" s="141" customFormat="1" ht="9.75" customHeight="1">
      <c r="A17" s="83" t="s">
        <v>23</v>
      </c>
      <c r="B17" s="154">
        <v>590524.97999999986</v>
      </c>
      <c r="C17" s="155">
        <v>93.87819123248606</v>
      </c>
      <c r="D17" s="153">
        <v>67.956566375905055</v>
      </c>
      <c r="E17" s="153">
        <v>15.297457865372609</v>
      </c>
      <c r="F17" s="153">
        <v>10.624166991208398</v>
      </c>
      <c r="G17" s="153">
        <v>5.8166599489152873</v>
      </c>
      <c r="H17" s="156">
        <v>0.30514881859866461</v>
      </c>
      <c r="I17" s="157">
        <v>483131.52</v>
      </c>
      <c r="J17" s="153">
        <v>97.379834741479911</v>
      </c>
      <c r="K17" s="153">
        <v>68.8</v>
      </c>
      <c r="L17" s="153">
        <v>63.8</v>
      </c>
      <c r="M17" s="153">
        <v>5</v>
      </c>
      <c r="N17" s="153">
        <v>18.697871337394837</v>
      </c>
      <c r="O17" s="153">
        <v>9.8819634040850826</v>
      </c>
      <c r="P17" s="153">
        <v>2.582077443425757</v>
      </c>
      <c r="Q17" s="153">
        <v>2.4</v>
      </c>
      <c r="R17" s="153">
        <v>0.2</v>
      </c>
      <c r="S17" s="156">
        <v>0</v>
      </c>
      <c r="T17" s="158">
        <v>106200.98</v>
      </c>
      <c r="U17" s="153">
        <v>77.706439243781006</v>
      </c>
      <c r="V17" s="153">
        <v>64.709384037699095</v>
      </c>
      <c r="W17" s="153">
        <v>0</v>
      </c>
      <c r="X17" s="153">
        <v>12.997055206081903</v>
      </c>
      <c r="Y17" s="153">
        <v>20.596796752722998</v>
      </c>
      <c r="Z17" s="153">
        <v>1.696764003496013</v>
      </c>
    </row>
    <row r="18" spans="1:26" s="141" customFormat="1" ht="9.75" customHeight="1">
      <c r="A18" s="83" t="s">
        <v>24</v>
      </c>
      <c r="B18" s="154">
        <v>2186294.4400000004</v>
      </c>
      <c r="C18" s="155">
        <v>94.467060438574762</v>
      </c>
      <c r="D18" s="153">
        <v>69.729605587799952</v>
      </c>
      <c r="E18" s="153">
        <v>14.731913236718469</v>
      </c>
      <c r="F18" s="153">
        <v>10.005541614056341</v>
      </c>
      <c r="G18" s="153">
        <v>5.37954393736646</v>
      </c>
      <c r="H18" s="156">
        <v>0.15339562405876125</v>
      </c>
      <c r="I18" s="157">
        <v>1645240</v>
      </c>
      <c r="J18" s="153">
        <v>97.942316014684792</v>
      </c>
      <c r="K18" s="153">
        <v>70.8</v>
      </c>
      <c r="L18" s="153">
        <v>63.9</v>
      </c>
      <c r="M18" s="153">
        <v>7</v>
      </c>
      <c r="N18" s="153">
        <v>19.576657508934865</v>
      </c>
      <c r="O18" s="153">
        <v>7.4656585057499214</v>
      </c>
      <c r="P18" s="153">
        <v>2.1494736330261848</v>
      </c>
      <c r="Q18" s="153">
        <v>1.9</v>
      </c>
      <c r="R18" s="153">
        <v>0.3</v>
      </c>
      <c r="S18" s="156">
        <v>4.3762612141693613E-3</v>
      </c>
      <c r="T18" s="158">
        <v>533058.44000000006</v>
      </c>
      <c r="U18" s="153">
        <v>83.954789272260655</v>
      </c>
      <c r="V18" s="153">
        <v>67.460049971256424</v>
      </c>
      <c r="W18" s="153">
        <v>0</v>
      </c>
      <c r="X18" s="153">
        <v>16.494739301004223</v>
      </c>
      <c r="Y18" s="153">
        <v>15.429578415454786</v>
      </c>
      <c r="Z18" s="153">
        <v>0.61563231228455917</v>
      </c>
    </row>
    <row r="19" spans="1:26" s="141" customFormat="1" ht="9.75" customHeight="1">
      <c r="A19" s="83" t="s">
        <v>25</v>
      </c>
      <c r="B19" s="154">
        <v>1701447.2500000002</v>
      </c>
      <c r="C19" s="155">
        <v>98.700954143597443</v>
      </c>
      <c r="D19" s="153">
        <v>82.42466229852262</v>
      </c>
      <c r="E19" s="153">
        <v>8.9121946037410193</v>
      </c>
      <c r="F19" s="153">
        <v>7.3640972413338117</v>
      </c>
      <c r="G19" s="153">
        <v>1.2226673498105802</v>
      </c>
      <c r="H19" s="156">
        <v>7.6378506591961631E-2</v>
      </c>
      <c r="I19" s="157">
        <v>1493699.7400000002</v>
      </c>
      <c r="J19" s="153">
        <v>98.713311228132099</v>
      </c>
      <c r="K19" s="153">
        <v>83.4</v>
      </c>
      <c r="L19" s="153">
        <v>74.900000000000006</v>
      </c>
      <c r="M19" s="153">
        <v>8.5</v>
      </c>
      <c r="N19" s="153">
        <v>10.151725004651871</v>
      </c>
      <c r="O19" s="153">
        <v>5.1615862234802288</v>
      </c>
      <c r="P19" s="153">
        <v>1.2246711645005708</v>
      </c>
      <c r="Q19" s="153">
        <v>0.8</v>
      </c>
      <c r="R19" s="153">
        <v>0.5</v>
      </c>
      <c r="S19" s="156">
        <v>3.7324101027158239E-2</v>
      </c>
      <c r="T19" s="158">
        <v>207747.51</v>
      </c>
      <c r="U19" s="153">
        <v>98.434561261408135</v>
      </c>
      <c r="V19" s="153">
        <v>75.234461293904317</v>
      </c>
      <c r="W19" s="153">
        <v>0</v>
      </c>
      <c r="X19" s="153">
        <v>23.200099967503824</v>
      </c>
      <c r="Y19" s="153">
        <v>1.2082599690364519</v>
      </c>
      <c r="Z19" s="153">
        <v>0.35717876955540884</v>
      </c>
    </row>
    <row r="20" spans="1:26" s="141" customFormat="1" ht="9.75" customHeight="1">
      <c r="A20" s="82" t="s">
        <v>11</v>
      </c>
      <c r="B20" s="154">
        <v>6689218.2482537925</v>
      </c>
      <c r="C20" s="155">
        <v>96.047169392106255</v>
      </c>
      <c r="D20" s="153">
        <v>65.253596888686701</v>
      </c>
      <c r="E20" s="153">
        <v>17.38495407103181</v>
      </c>
      <c r="F20" s="153">
        <v>13.408618432387739</v>
      </c>
      <c r="G20" s="153">
        <v>3.4179119832079605</v>
      </c>
      <c r="H20" s="156">
        <v>0.53491862468579732</v>
      </c>
      <c r="I20" s="157">
        <v>5092385.4840072682</v>
      </c>
      <c r="J20" s="153">
        <v>98.551619208231244</v>
      </c>
      <c r="K20" s="153">
        <v>66.3</v>
      </c>
      <c r="L20" s="153">
        <v>61.2</v>
      </c>
      <c r="M20" s="153">
        <v>5.0999999999999996</v>
      </c>
      <c r="N20" s="153">
        <v>22.836400029458975</v>
      </c>
      <c r="O20" s="153">
        <v>9.4152191787722774</v>
      </c>
      <c r="P20" s="153">
        <v>1.4710330222497561</v>
      </c>
      <c r="Q20" s="153">
        <v>1.4</v>
      </c>
      <c r="R20" s="153">
        <v>0.1</v>
      </c>
      <c r="S20" s="156">
        <v>3.6991755748185056E-3</v>
      </c>
      <c r="T20" s="158">
        <v>1511585.4742465245</v>
      </c>
      <c r="U20" s="153">
        <v>87.47577155237235</v>
      </c>
      <c r="V20" s="153">
        <v>65.497179409818358</v>
      </c>
      <c r="W20" s="153">
        <v>0</v>
      </c>
      <c r="X20" s="153">
        <v>21.978592142553993</v>
      </c>
      <c r="Y20" s="153">
        <v>10.169515559589829</v>
      </c>
      <c r="Z20" s="153">
        <v>2.3547128880378234</v>
      </c>
    </row>
    <row r="21" spans="1:26" s="141" customFormat="1" ht="9.75" customHeight="1">
      <c r="A21" s="82" t="s">
        <v>52</v>
      </c>
      <c r="B21" s="154">
        <v>4677043.2696499992</v>
      </c>
      <c r="C21" s="155">
        <v>93.338770713931979</v>
      </c>
      <c r="D21" s="153">
        <v>65.569059813925833</v>
      </c>
      <c r="E21" s="153">
        <v>14.862695722975847</v>
      </c>
      <c r="F21" s="153">
        <v>12.907015177030303</v>
      </c>
      <c r="G21" s="153">
        <v>6.187705507835874</v>
      </c>
      <c r="H21" s="156">
        <v>0.47352377823216801</v>
      </c>
      <c r="I21" s="157">
        <v>3532657.6546200002</v>
      </c>
      <c r="J21" s="153">
        <v>98.494273348205837</v>
      </c>
      <c r="K21" s="153">
        <v>67.7</v>
      </c>
      <c r="L21" s="153">
        <v>62.9</v>
      </c>
      <c r="M21" s="153">
        <v>4.8</v>
      </c>
      <c r="N21" s="153">
        <v>19.677386771143954</v>
      </c>
      <c r="O21" s="153">
        <v>11.116886577061873</v>
      </c>
      <c r="P21" s="153">
        <v>1.481773925405482</v>
      </c>
      <c r="Q21" s="153">
        <v>1.2</v>
      </c>
      <c r="R21" s="153">
        <v>0.3</v>
      </c>
      <c r="S21" s="156">
        <v>0</v>
      </c>
      <c r="T21" s="158">
        <v>1143785.61503</v>
      </c>
      <c r="U21" s="153">
        <v>77.338185356247777</v>
      </c>
      <c r="V21" s="153">
        <v>58.94792609210387</v>
      </c>
      <c r="W21" s="153">
        <v>0</v>
      </c>
      <c r="X21" s="153">
        <v>18.390259264143914</v>
      </c>
      <c r="Y21" s="153">
        <v>20.725532904501716</v>
      </c>
      <c r="Z21" s="153">
        <v>1.9362817392505078</v>
      </c>
    </row>
    <row r="22" spans="1:26" s="141" customFormat="1" ht="9.75" customHeight="1">
      <c r="A22" s="83" t="s">
        <v>26</v>
      </c>
      <c r="B22" s="154">
        <v>1064738.5893433332</v>
      </c>
      <c r="C22" s="155">
        <v>95.98964530004173</v>
      </c>
      <c r="D22" s="153">
        <v>78.327295389410978</v>
      </c>
      <c r="E22" s="153">
        <v>8.1945434751088388</v>
      </c>
      <c r="F22" s="153">
        <v>9.4678064355219149</v>
      </c>
      <c r="G22" s="153">
        <v>3.9503437257722198</v>
      </c>
      <c r="H22" s="156">
        <v>6.0010974186074359E-2</v>
      </c>
      <c r="I22" s="157">
        <v>911489.11290333327</v>
      </c>
      <c r="J22" s="153">
        <v>97.862235328179224</v>
      </c>
      <c r="K22" s="153">
        <v>79.900000000000006</v>
      </c>
      <c r="L22" s="153">
        <v>67.5</v>
      </c>
      <c r="M22" s="153">
        <v>12.3</v>
      </c>
      <c r="N22" s="153">
        <v>9.5722993686764131</v>
      </c>
      <c r="O22" s="153">
        <v>8.4899359595028177</v>
      </c>
      <c r="P22" s="153">
        <v>2.0489333416734552</v>
      </c>
      <c r="Q22" s="153">
        <v>1.5</v>
      </c>
      <c r="R22" s="153">
        <v>0.6</v>
      </c>
      <c r="S22" s="156">
        <v>0</v>
      </c>
      <c r="T22" s="158">
        <v>149302.87643999999</v>
      </c>
      <c r="U22" s="153">
        <v>83.90922513160389</v>
      </c>
      <c r="V22" s="153">
        <v>70.864636049070882</v>
      </c>
      <c r="W22" s="153">
        <v>0</v>
      </c>
      <c r="X22" s="153">
        <v>13.044589082533014</v>
      </c>
      <c r="Y22" s="153">
        <v>15.662812584456596</v>
      </c>
      <c r="Z22" s="153">
        <v>0.42796228393950425</v>
      </c>
    </row>
    <row r="23" spans="1:26" s="141" customFormat="1" ht="9.75" customHeight="1">
      <c r="A23" s="84" t="s">
        <v>12</v>
      </c>
      <c r="B23" s="154">
        <v>2451248.3247800004</v>
      </c>
      <c r="C23" s="155">
        <v>92.987268188936824</v>
      </c>
      <c r="D23" s="153">
        <v>69.948670659219601</v>
      </c>
      <c r="E23" s="153">
        <v>10.786449123375949</v>
      </c>
      <c r="F23" s="153">
        <v>12.252148406341277</v>
      </c>
      <c r="G23" s="153">
        <v>6.6437370781116671</v>
      </c>
      <c r="H23" s="156">
        <v>0.36899473295149682</v>
      </c>
      <c r="I23" s="157">
        <v>1890108.26985</v>
      </c>
      <c r="J23" s="153">
        <v>97.489369815694943</v>
      </c>
      <c r="K23" s="153">
        <v>72.599999999999994</v>
      </c>
      <c r="L23" s="153">
        <v>65.3</v>
      </c>
      <c r="M23" s="153">
        <v>7.3</v>
      </c>
      <c r="N23" s="153">
        <v>13.988757028240668</v>
      </c>
      <c r="O23" s="153">
        <v>10.900612787454286</v>
      </c>
      <c r="P23" s="153">
        <v>2.5189185608810858</v>
      </c>
      <c r="Q23" s="153">
        <v>1.6</v>
      </c>
      <c r="R23" s="153">
        <v>1</v>
      </c>
      <c r="S23" s="156">
        <v>1.7797329675018881E-3</v>
      </c>
      <c r="T23" s="158">
        <v>545676.7019300001</v>
      </c>
      <c r="U23" s="153">
        <v>77.949224750769076</v>
      </c>
      <c r="V23" s="153">
        <v>62.782103540119152</v>
      </c>
      <c r="W23" s="153">
        <v>0</v>
      </c>
      <c r="X23" s="153">
        <v>15.167121210649926</v>
      </c>
      <c r="Y23" s="153">
        <v>20.399369151421006</v>
      </c>
      <c r="Z23" s="153">
        <v>1.651406097809905</v>
      </c>
    </row>
    <row r="24" spans="1:26" s="141" customFormat="1" ht="9.75" customHeight="1">
      <c r="A24" s="84" t="s">
        <v>142</v>
      </c>
      <c r="B24" s="154">
        <v>5219637.7299999995</v>
      </c>
      <c r="C24" s="155">
        <v>92.521875842904535</v>
      </c>
      <c r="D24" s="153">
        <v>60.881818324966403</v>
      </c>
      <c r="E24" s="153">
        <v>19.521057834027115</v>
      </c>
      <c r="F24" s="153">
        <v>12.118999683911017</v>
      </c>
      <c r="G24" s="153">
        <v>6.4684971920455476</v>
      </c>
      <c r="H24" s="156">
        <v>1.009626965049929</v>
      </c>
      <c r="I24" s="157">
        <v>3528839.48</v>
      </c>
      <c r="J24" s="153">
        <v>97.693136249994566</v>
      </c>
      <c r="K24" s="153">
        <v>61.3</v>
      </c>
      <c r="L24" s="153">
        <v>54</v>
      </c>
      <c r="M24" s="153">
        <v>7.3</v>
      </c>
      <c r="N24" s="153">
        <v>28.874322727765446</v>
      </c>
      <c r="O24" s="153">
        <v>7.5188135222291299</v>
      </c>
      <c r="P24" s="153">
        <v>2.3241878942025438</v>
      </c>
      <c r="Q24" s="153">
        <v>2</v>
      </c>
      <c r="R24" s="153">
        <v>0.3</v>
      </c>
      <c r="S24" s="156">
        <v>2.576172719536679E-2</v>
      </c>
      <c r="T24" s="158">
        <v>1586156.4700000002</v>
      </c>
      <c r="U24" s="153">
        <v>80.619500924773206</v>
      </c>
      <c r="V24" s="153">
        <v>64.063805130145823</v>
      </c>
      <c r="W24" s="153">
        <v>0</v>
      </c>
      <c r="X24" s="153">
        <v>16.555695794627376</v>
      </c>
      <c r="Y24" s="153">
        <v>16.115387405632177</v>
      </c>
      <c r="Z24" s="153">
        <v>3.2651116695946141</v>
      </c>
    </row>
    <row r="25" spans="1:26" s="141" customFormat="1" ht="9.75" customHeight="1">
      <c r="A25" s="84" t="s">
        <v>139</v>
      </c>
      <c r="B25" s="154">
        <v>1429973.0799999994</v>
      </c>
      <c r="C25" s="155">
        <v>95.61222369305024</v>
      </c>
      <c r="D25" s="153">
        <v>72.728719480509397</v>
      </c>
      <c r="E25" s="153">
        <v>16.264788150417491</v>
      </c>
      <c r="F25" s="153">
        <v>6.6187160621233536</v>
      </c>
      <c r="G25" s="153">
        <v>4.1560320841844121</v>
      </c>
      <c r="H25" s="156">
        <v>0.23174422276536852</v>
      </c>
      <c r="I25" s="157">
        <v>1140557.3099999996</v>
      </c>
      <c r="J25" s="153">
        <v>98.91182595024533</v>
      </c>
      <c r="K25" s="153">
        <v>74.3</v>
      </c>
      <c r="L25" s="153">
        <v>68.099999999999994</v>
      </c>
      <c r="M25" s="153">
        <v>6.2</v>
      </c>
      <c r="N25" s="153">
        <v>20.391968911233405</v>
      </c>
      <c r="O25" s="153">
        <v>4.2198570390119228</v>
      </c>
      <c r="P25" s="153">
        <v>1.0377356662595065</v>
      </c>
      <c r="Q25" s="153">
        <v>1</v>
      </c>
      <c r="R25" s="153">
        <v>0.1</v>
      </c>
      <c r="S25" s="156">
        <v>3.200014561302493E-2</v>
      </c>
      <c r="T25" s="158">
        <v>285235.47000000003</v>
      </c>
      <c r="U25" s="153">
        <v>82.28022973440153</v>
      </c>
      <c r="V25" s="153">
        <v>67.43787159430066</v>
      </c>
      <c r="W25" s="153">
        <v>0</v>
      </c>
      <c r="X25" s="153">
        <v>14.842358140100878</v>
      </c>
      <c r="Y25" s="153">
        <v>16.685922686964563</v>
      </c>
      <c r="Z25" s="153">
        <v>1.0338475786338914</v>
      </c>
    </row>
    <row r="26" spans="1:26" s="141" customFormat="1" ht="9.75" customHeight="1">
      <c r="A26" s="84" t="s">
        <v>143</v>
      </c>
      <c r="B26" s="154">
        <v>675762.06456579082</v>
      </c>
      <c r="C26" s="155">
        <v>93.464053965743162</v>
      </c>
      <c r="D26" s="153">
        <v>63.836622487361574</v>
      </c>
      <c r="E26" s="153">
        <v>19.363482324553583</v>
      </c>
      <c r="F26" s="153">
        <v>10.263949153828008</v>
      </c>
      <c r="G26" s="153">
        <v>6.4271331978226982</v>
      </c>
      <c r="H26" s="156">
        <v>0.10881283643414863</v>
      </c>
      <c r="I26" s="157">
        <v>585592.31992470741</v>
      </c>
      <c r="J26" s="153">
        <v>95.318909144706723</v>
      </c>
      <c r="K26" s="153">
        <v>64.8</v>
      </c>
      <c r="L26" s="153">
        <v>58.3</v>
      </c>
      <c r="M26" s="153">
        <v>6.4</v>
      </c>
      <c r="N26" s="153">
        <v>22.345079243023449</v>
      </c>
      <c r="O26" s="153">
        <v>8.2738299016832659</v>
      </c>
      <c r="P26" s="153">
        <v>4.5992803979516932</v>
      </c>
      <c r="Q26" s="153">
        <v>2.9</v>
      </c>
      <c r="R26" s="153">
        <v>1.7</v>
      </c>
      <c r="S26" s="156">
        <v>0</v>
      </c>
      <c r="T26" s="158">
        <v>85429.094641083429</v>
      </c>
      <c r="U26" s="153">
        <v>79.826063766448684</v>
      </c>
      <c r="V26" s="153">
        <v>60.90006167321738</v>
      </c>
      <c r="W26" s="153">
        <v>0</v>
      </c>
      <c r="X26" s="153">
        <v>18.926002093231304</v>
      </c>
      <c r="Y26" s="153">
        <v>19.313203864691125</v>
      </c>
      <c r="Z26" s="153">
        <v>0.8607323688601769</v>
      </c>
    </row>
    <row r="27" spans="1:26" s="141" customFormat="1" ht="9.75" customHeight="1">
      <c r="A27" s="84" t="s">
        <v>13</v>
      </c>
      <c r="B27" s="154">
        <v>2765851.3517100005</v>
      </c>
      <c r="C27" s="155">
        <v>96.651784000150798</v>
      </c>
      <c r="D27" s="153">
        <v>59.131867248355398</v>
      </c>
      <c r="E27" s="153">
        <v>24.760093834276461</v>
      </c>
      <c r="F27" s="153">
        <v>12.759822917518928</v>
      </c>
      <c r="G27" s="153">
        <v>3.2105274314579466</v>
      </c>
      <c r="H27" s="156">
        <v>0.13768856839126675</v>
      </c>
      <c r="I27" s="157">
        <v>2247723.0727000004</v>
      </c>
      <c r="J27" s="153">
        <v>97.316542120691622</v>
      </c>
      <c r="K27" s="153">
        <v>57.8</v>
      </c>
      <c r="L27" s="153">
        <v>52.7</v>
      </c>
      <c r="M27" s="153">
        <v>5.0999999999999996</v>
      </c>
      <c r="N27" s="153">
        <v>30.467605120828988</v>
      </c>
      <c r="O27" s="153">
        <v>9.0489369998626401</v>
      </c>
      <c r="P27" s="153">
        <v>2.7153571132179262</v>
      </c>
      <c r="Q27" s="153">
        <v>2</v>
      </c>
      <c r="R27" s="153">
        <v>0.7</v>
      </c>
      <c r="S27" s="156">
        <v>0</v>
      </c>
      <c r="T27" s="158">
        <v>447891.71113000001</v>
      </c>
      <c r="U27" s="153">
        <v>93.274722353310722</v>
      </c>
      <c r="V27" s="153">
        <v>75.248684363836489</v>
      </c>
      <c r="W27" s="153">
        <v>0</v>
      </c>
      <c r="X27" s="153">
        <v>18.026037989474233</v>
      </c>
      <c r="Y27" s="153">
        <v>5.8750138361820419</v>
      </c>
      <c r="Z27" s="153">
        <v>0.85026381050723598</v>
      </c>
    </row>
    <row r="28" spans="1:26" s="141" customFormat="1" ht="9.75" customHeight="1">
      <c r="A28" s="84" t="s">
        <v>141</v>
      </c>
      <c r="B28" s="154">
        <v>291187.17200000002</v>
      </c>
      <c r="C28" s="155">
        <v>96.405408271213261</v>
      </c>
      <c r="D28" s="153">
        <v>68.037054187263436</v>
      </c>
      <c r="E28" s="153">
        <v>18.191653030649302</v>
      </c>
      <c r="F28" s="153">
        <v>10.176701053300519</v>
      </c>
      <c r="G28" s="153">
        <v>3.3297517653009798</v>
      </c>
      <c r="H28" s="156">
        <v>0.26483996348575406</v>
      </c>
      <c r="I28" s="157">
        <v>244893.11199999999</v>
      </c>
      <c r="J28" s="153">
        <v>97.267000643121406</v>
      </c>
      <c r="K28" s="153">
        <v>67.599999999999994</v>
      </c>
      <c r="L28" s="153">
        <v>60.6</v>
      </c>
      <c r="M28" s="153">
        <v>7.1</v>
      </c>
      <c r="N28" s="153">
        <v>21.630563459865709</v>
      </c>
      <c r="O28" s="153">
        <v>7.9364371832556921</v>
      </c>
      <c r="P28" s="153">
        <v>2.7280514120789157</v>
      </c>
      <c r="Q28" s="153">
        <v>2.6</v>
      </c>
      <c r="R28" s="153">
        <v>0.2</v>
      </c>
      <c r="S28" s="156">
        <v>5.8629660437325821E-2</v>
      </c>
      <c r="T28" s="158">
        <v>44304.6</v>
      </c>
      <c r="U28" s="153">
        <v>91.778280359150074</v>
      </c>
      <c r="V28" s="153">
        <v>73.251987378285776</v>
      </c>
      <c r="W28" s="153">
        <v>0</v>
      </c>
      <c r="X28" s="153">
        <v>18.526292980864291</v>
      </c>
      <c r="Y28" s="153">
        <v>6.8051624436288787</v>
      </c>
      <c r="Z28" s="153">
        <v>1.416557197221056</v>
      </c>
    </row>
    <row r="29" spans="1:26" s="159" customFormat="1" ht="9.75" customHeight="1">
      <c r="A29" s="85" t="s">
        <v>48</v>
      </c>
      <c r="B29" s="146">
        <v>3679826.5121100005</v>
      </c>
      <c r="C29" s="147">
        <v>92.420970769078934</v>
      </c>
      <c r="D29" s="148">
        <v>34.603850013294753</v>
      </c>
      <c r="E29" s="148">
        <v>0</v>
      </c>
      <c r="F29" s="148">
        <v>57.817120755784174</v>
      </c>
      <c r="G29" s="148">
        <v>7.5661788968511337</v>
      </c>
      <c r="H29" s="149">
        <v>1.2850334069930322E-2</v>
      </c>
      <c r="I29" s="150">
        <v>2815065.1531099998</v>
      </c>
      <c r="J29" s="148">
        <v>93.835440443126785</v>
      </c>
      <c r="K29" s="148">
        <v>42.5</v>
      </c>
      <c r="L29" s="151" t="s">
        <v>65</v>
      </c>
      <c r="M29" s="151" t="s">
        <v>65</v>
      </c>
      <c r="N29" s="148">
        <v>0</v>
      </c>
      <c r="O29" s="148">
        <v>51.335440443126785</v>
      </c>
      <c r="P29" s="148">
        <v>6.1802884316120732</v>
      </c>
      <c r="Q29" s="151" t="s">
        <v>65</v>
      </c>
      <c r="R29" s="151" t="s">
        <v>65</v>
      </c>
      <c r="S29" s="149">
        <v>1.5790043065572735E-2</v>
      </c>
      <c r="T29" s="152">
        <v>31217.366000000002</v>
      </c>
      <c r="U29" s="148">
        <v>93.925720703021511</v>
      </c>
      <c r="V29" s="148">
        <v>40.841594386919127</v>
      </c>
      <c r="W29" s="148">
        <v>0</v>
      </c>
      <c r="X29" s="148">
        <v>53.084126316102392</v>
      </c>
      <c r="Y29" s="148">
        <v>6.041765343046559</v>
      </c>
      <c r="Z29" s="148">
        <v>3.2513953931923661E-2</v>
      </c>
    </row>
    <row r="30" spans="1:26" s="159" customFormat="1" ht="9.75" customHeight="1">
      <c r="A30" s="85" t="s">
        <v>106</v>
      </c>
      <c r="B30" s="154">
        <v>125558.71307</v>
      </c>
      <c r="C30" s="147"/>
      <c r="D30" s="160"/>
      <c r="E30" s="160"/>
      <c r="F30" s="160"/>
      <c r="G30" s="160"/>
      <c r="H30" s="149"/>
      <c r="I30" s="161">
        <v>-244072.60623999999</v>
      </c>
      <c r="L30" s="160"/>
      <c r="N30" s="148"/>
      <c r="O30" s="160"/>
      <c r="P30" s="162"/>
      <c r="Q30" s="162"/>
      <c r="R30" s="160"/>
      <c r="S30" s="160"/>
      <c r="T30" s="161">
        <v>-100</v>
      </c>
      <c r="U30" s="162"/>
      <c r="V30" s="162"/>
      <c r="W30" s="160"/>
    </row>
    <row r="31" spans="1:26" ht="9.75" customHeight="1">
      <c r="B31" s="9"/>
      <c r="C31" s="9"/>
      <c r="D31" s="9"/>
      <c r="E31" s="9"/>
      <c r="F31" s="9"/>
      <c r="G31" s="9"/>
      <c r="H31" s="9"/>
      <c r="I31" s="9"/>
      <c r="M31" s="175"/>
    </row>
    <row r="32" spans="1:26" s="9" customFormat="1" ht="9.75" customHeight="1">
      <c r="A32" s="9" t="s">
        <v>46</v>
      </c>
      <c r="M32" s="175"/>
    </row>
    <row r="33" spans="1:13" s="9" customFormat="1" ht="9.75" customHeight="1">
      <c r="A33" s="18" t="s">
        <v>47</v>
      </c>
      <c r="M33" s="175"/>
    </row>
    <row r="34" spans="1:13" s="2" customFormat="1">
      <c r="M34" s="175"/>
    </row>
    <row r="35" spans="1:13">
      <c r="L35" s="175"/>
      <c r="M35" s="175"/>
    </row>
    <row r="36" spans="1:13">
      <c r="L36" s="175"/>
      <c r="M36" s="175"/>
    </row>
    <row r="37" spans="1:13">
      <c r="L37" s="175"/>
      <c r="M37" s="175"/>
    </row>
    <row r="38" spans="1:13">
      <c r="L38" s="175"/>
      <c r="M38" s="175"/>
    </row>
    <row r="39" spans="1:13">
      <c r="L39" s="175"/>
      <c r="M39" s="175"/>
    </row>
    <row r="40" spans="1:13">
      <c r="L40" s="175"/>
      <c r="M40" s="175"/>
    </row>
    <row r="41" spans="1:13">
      <c r="L41" s="175"/>
      <c r="M41" s="175"/>
    </row>
    <row r="42" spans="1:13">
      <c r="L42" s="175"/>
      <c r="M42" s="175"/>
    </row>
    <row r="43" spans="1:13">
      <c r="L43" s="175"/>
      <c r="M43" s="175"/>
    </row>
    <row r="44" spans="1:13">
      <c r="L44" s="175"/>
      <c r="M44" s="175"/>
    </row>
    <row r="45" spans="1:13">
      <c r="L45" s="175"/>
      <c r="M45" s="175"/>
    </row>
    <row r="46" spans="1:13">
      <c r="L46" s="175"/>
      <c r="M46" s="175"/>
    </row>
    <row r="47" spans="1:13">
      <c r="L47" s="175"/>
      <c r="M47" s="175"/>
    </row>
    <row r="48" spans="1:13">
      <c r="L48" s="175"/>
      <c r="M48" s="175"/>
    </row>
    <row r="49" spans="12:13">
      <c r="L49" s="175"/>
      <c r="M49" s="175"/>
    </row>
    <row r="50" spans="12:13">
      <c r="L50" s="175"/>
      <c r="M50" s="175"/>
    </row>
    <row r="51" spans="12:13">
      <c r="L51" s="175"/>
      <c r="M51" s="175"/>
    </row>
    <row r="52" spans="12:13">
      <c r="L52" s="175"/>
      <c r="M52" s="175"/>
    </row>
    <row r="53" spans="12:13">
      <c r="L53" s="175"/>
      <c r="M53" s="175"/>
    </row>
    <row r="54" spans="12:13">
      <c r="L54" s="175"/>
      <c r="M54" s="175"/>
    </row>
    <row r="55" spans="12:13">
      <c r="L55" s="175"/>
      <c r="M55" s="175"/>
    </row>
    <row r="56" spans="12:13">
      <c r="L56" s="175"/>
      <c r="M56" s="175"/>
    </row>
  </sheetData>
  <mergeCells count="31">
    <mergeCell ref="J4:O4"/>
    <mergeCell ref="P4:R4"/>
    <mergeCell ref="S4:S6"/>
    <mergeCell ref="A4:A5"/>
    <mergeCell ref="B4:B6"/>
    <mergeCell ref="C4:F4"/>
    <mergeCell ref="G4:G6"/>
    <mergeCell ref="H4:H6"/>
    <mergeCell ref="U5:U6"/>
    <mergeCell ref="V5:V6"/>
    <mergeCell ref="W5:W6"/>
    <mergeCell ref="X5:X6"/>
    <mergeCell ref="N5:N6"/>
    <mergeCell ref="O5:O6"/>
    <mergeCell ref="P5:P6"/>
    <mergeCell ref="T3:Z3"/>
    <mergeCell ref="B3:H3"/>
    <mergeCell ref="I3:S3"/>
    <mergeCell ref="Z4:Z6"/>
    <mergeCell ref="C5:C6"/>
    <mergeCell ref="D5:D6"/>
    <mergeCell ref="E5:E6"/>
    <mergeCell ref="F5:F6"/>
    <mergeCell ref="J5:J6"/>
    <mergeCell ref="K5:M5"/>
    <mergeCell ref="I4:I6"/>
    <mergeCell ref="T4:T6"/>
    <mergeCell ref="U4:X4"/>
    <mergeCell ref="Y4:Y6"/>
    <mergeCell ref="Q5:Q6"/>
    <mergeCell ref="R5:R6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>
    <tabColor theme="5" tint="0.39997558519241921"/>
  </sheetPr>
  <dimension ref="A1:K48"/>
  <sheetViews>
    <sheetView zoomScaleNormal="100" workbookViewId="0"/>
  </sheetViews>
  <sheetFormatPr baseColWidth="10" defaultColWidth="11.42578125" defaultRowHeight="12.95" customHeight="1"/>
  <cols>
    <col min="1" max="1" width="26.5703125" style="20" customWidth="1"/>
    <col min="2" max="2" width="10.42578125" style="20" bestFit="1" customWidth="1"/>
    <col min="3" max="3" width="11.85546875" style="20" bestFit="1" customWidth="1"/>
    <col min="4" max="4" width="6.140625" style="20" customWidth="1"/>
    <col min="5" max="5" width="14.5703125" style="20" customWidth="1"/>
    <col min="6" max="6" width="10.85546875" style="20" customWidth="1"/>
    <col min="7" max="16384" width="11.42578125" style="20"/>
  </cols>
  <sheetData>
    <row r="1" spans="1:7" ht="27.75">
      <c r="A1" s="52" t="s">
        <v>61</v>
      </c>
      <c r="B1" s="53" t="s">
        <v>21</v>
      </c>
      <c r="C1" s="53" t="s">
        <v>29</v>
      </c>
      <c r="E1" s="52" t="s">
        <v>62</v>
      </c>
      <c r="F1" s="53" t="s">
        <v>28</v>
      </c>
    </row>
    <row r="2" spans="1:7" ht="12.95" customHeight="1">
      <c r="A2" s="5" t="s">
        <v>66</v>
      </c>
      <c r="B2" s="51">
        <v>4.5360476285401168</v>
      </c>
      <c r="C2" s="51">
        <v>1.6271237110182182</v>
      </c>
      <c r="E2" s="5" t="s">
        <v>66</v>
      </c>
      <c r="F2" s="51">
        <v>5.0749473749142187</v>
      </c>
      <c r="G2" s="42"/>
    </row>
    <row r="3" spans="1:7" ht="12.95" customHeight="1">
      <c r="A3" s="26" t="s">
        <v>9</v>
      </c>
      <c r="B3" s="51">
        <v>15.248625390038194</v>
      </c>
      <c r="C3" s="51">
        <v>15.903632051301654</v>
      </c>
      <c r="E3" s="26" t="s">
        <v>9</v>
      </c>
      <c r="F3" s="51">
        <v>17.185612340100697</v>
      </c>
      <c r="G3" s="42"/>
    </row>
    <row r="4" spans="1:7" ht="12.95" customHeight="1">
      <c r="A4" s="25" t="s">
        <v>22</v>
      </c>
      <c r="B4" s="51">
        <v>2.4022074118861712</v>
      </c>
      <c r="C4" s="51">
        <v>2.444128897836813</v>
      </c>
      <c r="E4" s="25" t="s">
        <v>22</v>
      </c>
      <c r="F4" s="51">
        <v>2.8610986884209377</v>
      </c>
      <c r="G4" s="42"/>
    </row>
    <row r="5" spans="1:7" ht="12.95" customHeight="1">
      <c r="A5" s="26" t="s">
        <v>43</v>
      </c>
      <c r="B5" s="51">
        <v>1.9493902042054851</v>
      </c>
      <c r="C5" s="51">
        <v>1.8798416314822697</v>
      </c>
      <c r="E5" s="26" t="s">
        <v>43</v>
      </c>
      <c r="F5" s="51">
        <v>2.0854299835763466</v>
      </c>
      <c r="G5" s="42"/>
    </row>
    <row r="6" spans="1:7" ht="12.95" customHeight="1">
      <c r="A6" s="26" t="s">
        <v>44</v>
      </c>
      <c r="B6" s="51">
        <v>1.7184161367281809</v>
      </c>
      <c r="C6" s="51">
        <v>2.105072487319557</v>
      </c>
      <c r="E6" s="26" t="s">
        <v>44</v>
      </c>
      <c r="F6" s="51">
        <v>0.90511292225366435</v>
      </c>
      <c r="G6" s="42"/>
    </row>
    <row r="7" spans="1:7" ht="12.95" customHeight="1">
      <c r="A7" s="26" t="s">
        <v>10</v>
      </c>
      <c r="B7" s="51">
        <v>3.5416987894939571</v>
      </c>
      <c r="C7" s="51">
        <v>3.9518937211010399</v>
      </c>
      <c r="E7" s="26" t="s">
        <v>10</v>
      </c>
      <c r="F7" s="51">
        <v>3.0267906022777211</v>
      </c>
      <c r="G7" s="42"/>
    </row>
    <row r="8" spans="1:7" ht="12.95" customHeight="1">
      <c r="A8" s="25" t="s">
        <v>23</v>
      </c>
      <c r="B8" s="51">
        <v>1.1101263561218908</v>
      </c>
      <c r="C8" s="51">
        <v>1.1972267060550263</v>
      </c>
      <c r="E8" s="25" t="s">
        <v>23</v>
      </c>
      <c r="F8" s="51">
        <v>1.1550628031243493</v>
      </c>
      <c r="G8" s="42"/>
    </row>
    <row r="9" spans="1:7" ht="12.95" customHeight="1">
      <c r="A9" s="25" t="s">
        <v>24</v>
      </c>
      <c r="B9" s="51">
        <v>4.7461140054797459</v>
      </c>
      <c r="C9" s="51">
        <v>4.9227692449291283</v>
      </c>
      <c r="E9" s="25" t="s">
        <v>24</v>
      </c>
      <c r="F9" s="51">
        <v>5.4926430901141936</v>
      </c>
      <c r="G9" s="42"/>
    </row>
    <row r="10" spans="1:7" ht="12.95" customHeight="1">
      <c r="A10" s="25" t="s">
        <v>25</v>
      </c>
      <c r="B10" s="51">
        <v>3.9737572047391199</v>
      </c>
      <c r="C10" s="51">
        <v>4.8182531359787149</v>
      </c>
      <c r="E10" s="25" t="s">
        <v>25</v>
      </c>
      <c r="F10" s="51">
        <v>2.3203489447995618</v>
      </c>
      <c r="G10" s="42"/>
    </row>
    <row r="11" spans="1:7" ht="12.95" customHeight="1">
      <c r="A11" s="25" t="s">
        <v>11</v>
      </c>
      <c r="B11" s="51">
        <v>13.37506515000403</v>
      </c>
      <c r="C11" s="51">
        <v>14.082665173667889</v>
      </c>
      <c r="E11" s="25" t="s">
        <v>11</v>
      </c>
      <c r="F11" s="51">
        <v>14.591431749311823</v>
      </c>
      <c r="G11" s="42"/>
    </row>
    <row r="12" spans="1:7" ht="12.95" customHeight="1">
      <c r="A12" s="27" t="s">
        <v>52</v>
      </c>
      <c r="B12" s="51">
        <v>9.5909955957296287</v>
      </c>
      <c r="C12" s="51">
        <v>9.7699178638834656</v>
      </c>
      <c r="E12" s="27" t="s">
        <v>52</v>
      </c>
      <c r="F12" s="51">
        <v>11.991194454511103</v>
      </c>
      <c r="G12" s="42"/>
    </row>
    <row r="13" spans="1:7" ht="12.95" customHeight="1">
      <c r="A13" s="25" t="s">
        <v>26</v>
      </c>
      <c r="B13" s="51">
        <v>2.1189386245969835</v>
      </c>
      <c r="C13" s="51">
        <v>2.4518199694189509</v>
      </c>
      <c r="E13" s="25" t="s">
        <v>26</v>
      </c>
      <c r="F13" s="51">
        <v>1.5465847668689421</v>
      </c>
      <c r="G13" s="42"/>
    </row>
    <row r="14" spans="1:7" ht="12.95" customHeight="1">
      <c r="A14" s="25" t="s">
        <v>12</v>
      </c>
      <c r="B14" s="51">
        <v>5.1956353445281875</v>
      </c>
      <c r="C14" s="51">
        <v>5.3802665838454837</v>
      </c>
      <c r="E14" s="25" t="s">
        <v>12</v>
      </c>
      <c r="F14" s="51">
        <v>5.8648836465136336</v>
      </c>
      <c r="G14" s="42"/>
    </row>
    <row r="15" spans="1:7" ht="12.95" customHeight="1">
      <c r="A15" s="26" t="s">
        <v>39</v>
      </c>
      <c r="B15" s="51">
        <v>10.684574558398046</v>
      </c>
      <c r="C15" s="51">
        <v>9.5226975811970274</v>
      </c>
      <c r="E15" s="26" t="s">
        <v>39</v>
      </c>
      <c r="F15" s="51">
        <v>17.148069256926078</v>
      </c>
      <c r="G15" s="42"/>
    </row>
    <row r="16" spans="1:7" ht="12.95" customHeight="1">
      <c r="A16" s="26" t="s">
        <v>40</v>
      </c>
      <c r="B16" s="51">
        <v>2.8461445642658654</v>
      </c>
      <c r="C16" s="51">
        <v>3.1189310503957364</v>
      </c>
      <c r="E16" s="26" t="s">
        <v>40</v>
      </c>
      <c r="F16" s="51">
        <v>2.706150580996368</v>
      </c>
      <c r="G16" s="42"/>
    </row>
    <row r="17" spans="1:11" ht="12.95" customHeight="1">
      <c r="A17" s="26" t="s">
        <v>41</v>
      </c>
      <c r="B17" s="51">
        <v>1.3302030935600697</v>
      </c>
      <c r="C17" s="51">
        <v>1.5592102616687462</v>
      </c>
      <c r="E17" s="26" t="s">
        <v>41</v>
      </c>
      <c r="F17" s="51">
        <v>0.9040257226792916</v>
      </c>
      <c r="G17" s="42"/>
    </row>
    <row r="18" spans="1:11" ht="12.95" customHeight="1">
      <c r="A18" s="26" t="s">
        <v>13</v>
      </c>
      <c r="B18" s="51">
        <v>5.2914312644464836</v>
      </c>
      <c r="C18" s="51">
        <v>5.8482813872627748</v>
      </c>
      <c r="E18" s="26" t="s">
        <v>13</v>
      </c>
      <c r="F18" s="51">
        <v>4.533160550847783</v>
      </c>
      <c r="G18" s="42"/>
    </row>
    <row r="19" spans="1:11" ht="12.95" customHeight="1">
      <c r="A19" s="26" t="s">
        <v>27</v>
      </c>
      <c r="B19" s="51">
        <v>0.53642176539048958</v>
      </c>
      <c r="C19" s="51">
        <v>0.6097762840497315</v>
      </c>
      <c r="E19" s="26" t="s">
        <v>27</v>
      </c>
      <c r="F19" s="51">
        <v>0.44219433114094264</v>
      </c>
      <c r="G19" s="42"/>
    </row>
    <row r="20" spans="1:11" ht="12.95" customHeight="1">
      <c r="A20" s="19" t="s">
        <v>38</v>
      </c>
      <c r="B20" s="51">
        <v>9.8042069118473414</v>
      </c>
      <c r="C20" s="51">
        <v>8.8064922575877596</v>
      </c>
      <c r="E20" s="19" t="s">
        <v>38</v>
      </c>
      <c r="F20" s="51">
        <v>0.16525819062232536</v>
      </c>
      <c r="G20" s="42"/>
    </row>
    <row r="21" spans="1:11" ht="12.95" customHeight="1" thickBot="1"/>
    <row r="22" spans="1:11" ht="48.75" customHeight="1">
      <c r="A22" s="55" t="s">
        <v>63</v>
      </c>
      <c r="B22" s="29" t="s">
        <v>6</v>
      </c>
      <c r="C22" s="29" t="s">
        <v>42</v>
      </c>
      <c r="D22" s="29" t="s">
        <v>7</v>
      </c>
      <c r="E22" s="29" t="s">
        <v>17</v>
      </c>
      <c r="F22" s="54" t="s">
        <v>64</v>
      </c>
      <c r="G22" s="29" t="s">
        <v>6</v>
      </c>
      <c r="H22" s="29" t="s">
        <v>42</v>
      </c>
      <c r="I22" s="29" t="s">
        <v>7</v>
      </c>
      <c r="J22" s="29" t="s">
        <v>17</v>
      </c>
    </row>
    <row r="23" spans="1:11" ht="11.1" customHeight="1">
      <c r="A23" s="26" t="s">
        <v>13</v>
      </c>
      <c r="B23" s="21">
        <v>54.6</v>
      </c>
      <c r="C23" s="21">
        <v>27.781019122287908</v>
      </c>
      <c r="D23" s="21">
        <v>12.592557740574206</v>
      </c>
      <c r="E23" s="21">
        <v>5.0360753634065185</v>
      </c>
      <c r="F23" s="5" t="s">
        <v>54</v>
      </c>
      <c r="G23" s="21">
        <v>69.900000000000006</v>
      </c>
      <c r="H23" s="21">
        <v>3.1348406409944154</v>
      </c>
      <c r="I23" s="21">
        <v>22.467451931464659</v>
      </c>
      <c r="J23" s="21">
        <v>4.4723473129813982</v>
      </c>
      <c r="K23" s="21">
        <v>99.974639885440482</v>
      </c>
    </row>
    <row r="24" spans="1:11" ht="11.1" customHeight="1">
      <c r="A24" s="25" t="s">
        <v>11</v>
      </c>
      <c r="B24" s="21">
        <v>59.7</v>
      </c>
      <c r="C24" s="21">
        <v>18.681209656646683</v>
      </c>
      <c r="D24" s="21">
        <v>14.889507745376987</v>
      </c>
      <c r="E24" s="21">
        <v>6.7416327739023076</v>
      </c>
      <c r="F24" s="26" t="s">
        <v>9</v>
      </c>
      <c r="G24" s="21">
        <v>71</v>
      </c>
      <c r="H24" s="21">
        <v>10.903008463559834</v>
      </c>
      <c r="I24" s="21">
        <v>8.5835402506116569</v>
      </c>
      <c r="J24" s="21">
        <v>9.4725430166348588</v>
      </c>
      <c r="K24" s="21">
        <v>99.95909173080635</v>
      </c>
    </row>
    <row r="25" spans="1:11" ht="11.1" customHeight="1">
      <c r="A25" s="25" t="s">
        <v>52</v>
      </c>
      <c r="B25" s="21">
        <v>60.1</v>
      </c>
      <c r="C25" s="21">
        <v>16.502536945153825</v>
      </c>
      <c r="D25" s="21">
        <v>12.31513182707519</v>
      </c>
      <c r="E25" s="21">
        <v>11.12890247526561</v>
      </c>
      <c r="F25" s="25" t="s">
        <v>22</v>
      </c>
      <c r="G25" s="21">
        <v>67.900000000000006</v>
      </c>
      <c r="H25" s="21">
        <v>16.109932145392804</v>
      </c>
      <c r="I25" s="21">
        <v>9.7590532415909674</v>
      </c>
      <c r="J25" s="21">
        <v>6.2553516316683648</v>
      </c>
      <c r="K25" s="21">
        <v>100.02433701865213</v>
      </c>
    </row>
    <row r="26" spans="1:11" ht="11.1" customHeight="1">
      <c r="A26" s="25" t="s">
        <v>41</v>
      </c>
      <c r="B26" s="21">
        <v>62.6</v>
      </c>
      <c r="C26" s="21">
        <v>19.703519492640769</v>
      </c>
      <c r="D26" s="21">
        <v>10.7190421027932</v>
      </c>
      <c r="E26" s="21">
        <v>6.9694620891751757</v>
      </c>
      <c r="F26" s="26" t="s">
        <v>43</v>
      </c>
      <c r="G26" s="21">
        <v>73.599999999999994</v>
      </c>
      <c r="H26" s="21">
        <v>11.898168630377377</v>
      </c>
      <c r="I26" s="21">
        <v>9.6876278824144908</v>
      </c>
      <c r="J26" s="21">
        <v>4.7842096158455254</v>
      </c>
      <c r="K26" s="21">
        <v>99.97000612863738</v>
      </c>
    </row>
    <row r="27" spans="1:11" ht="11.1" customHeight="1">
      <c r="A27" s="26" t="s">
        <v>39</v>
      </c>
      <c r="B27" s="21">
        <v>63.8</v>
      </c>
      <c r="C27" s="21">
        <v>21.036149610139681</v>
      </c>
      <c r="D27" s="21">
        <v>10.673992365865844</v>
      </c>
      <c r="E27" s="21">
        <v>4.4921736474057141</v>
      </c>
      <c r="F27" s="26" t="s">
        <v>44</v>
      </c>
      <c r="G27" s="21">
        <v>66.900000000000006</v>
      </c>
      <c r="H27" s="21">
        <v>19.498452524961213</v>
      </c>
      <c r="I27" s="21">
        <v>7.4699383947383176</v>
      </c>
      <c r="J27" s="21">
        <v>6.1427682579356491</v>
      </c>
      <c r="K27" s="21">
        <v>100.01115917763518</v>
      </c>
    </row>
    <row r="28" spans="1:11" ht="11.1" customHeight="1">
      <c r="A28" s="2" t="s">
        <v>27</v>
      </c>
      <c r="B28" s="21">
        <v>65.7</v>
      </c>
      <c r="C28" s="21">
        <v>15.775669987527182</v>
      </c>
      <c r="D28" s="21">
        <v>11.929700514123414</v>
      </c>
      <c r="E28" s="21">
        <v>6.587592267038116</v>
      </c>
      <c r="F28" s="26" t="s">
        <v>10</v>
      </c>
      <c r="G28" s="21">
        <v>77.2</v>
      </c>
      <c r="H28" s="21">
        <v>7.8151348360396318</v>
      </c>
      <c r="I28" s="21">
        <v>10.948258265584005</v>
      </c>
      <c r="J28" s="21">
        <v>4.0030127144229795</v>
      </c>
      <c r="K28" s="21">
        <v>99.966405816046617</v>
      </c>
    </row>
    <row r="29" spans="1:11" ht="11.1" customHeight="1">
      <c r="A29" s="25" t="s">
        <v>23</v>
      </c>
      <c r="B29" s="21">
        <v>65.900000000000006</v>
      </c>
      <c r="C29" s="21">
        <v>15.483978201724439</v>
      </c>
      <c r="D29" s="21">
        <v>14.305628951806067</v>
      </c>
      <c r="E29" s="21">
        <v>4.330873088407535</v>
      </c>
      <c r="F29" s="25" t="s">
        <v>23</v>
      </c>
      <c r="G29" s="21">
        <v>65.900000000000006</v>
      </c>
      <c r="H29" s="21">
        <v>15.483978201724439</v>
      </c>
      <c r="I29" s="21">
        <v>14.305628951806067</v>
      </c>
      <c r="J29" s="21">
        <v>4.330873088407535</v>
      </c>
      <c r="K29" s="21">
        <v>100.02048024193805</v>
      </c>
    </row>
    <row r="30" spans="1:11" ht="11.1" customHeight="1">
      <c r="A30" s="25" t="s">
        <v>24</v>
      </c>
      <c r="B30" s="21">
        <v>66.5</v>
      </c>
      <c r="C30" s="21">
        <v>15.539707262707626</v>
      </c>
      <c r="D30" s="21">
        <v>9.3769340918589439</v>
      </c>
      <c r="E30" s="21">
        <v>8.5371242865984431</v>
      </c>
      <c r="F30" s="25" t="s">
        <v>24</v>
      </c>
      <c r="G30" s="21">
        <v>66.5</v>
      </c>
      <c r="H30" s="21">
        <v>15.539707262707626</v>
      </c>
      <c r="I30" s="21">
        <v>9.3769340918589439</v>
      </c>
      <c r="J30" s="21">
        <v>8.5371242865984431</v>
      </c>
      <c r="K30" s="21">
        <v>99.953765641165006</v>
      </c>
    </row>
    <row r="31" spans="1:11" ht="11.1" customHeight="1">
      <c r="A31" s="26" t="s">
        <v>44</v>
      </c>
      <c r="B31" s="21">
        <v>66.900000000000006</v>
      </c>
      <c r="C31" s="21">
        <v>19.498452524961213</v>
      </c>
      <c r="D31" s="21">
        <v>7.4699383947383176</v>
      </c>
      <c r="E31" s="21">
        <v>6.1427682579356491</v>
      </c>
      <c r="F31" s="25" t="s">
        <v>25</v>
      </c>
      <c r="G31" s="21">
        <v>74.5</v>
      </c>
      <c r="H31" s="21">
        <v>7.716372035107641</v>
      </c>
      <c r="I31" s="21">
        <v>8.5339386634278362</v>
      </c>
      <c r="J31" s="21">
        <v>9.2574892711661363</v>
      </c>
      <c r="K31" s="21">
        <v>100.00779996970161</v>
      </c>
    </row>
    <row r="32" spans="1:11" ht="11.1" customHeight="1">
      <c r="A32" s="27" t="s">
        <v>22</v>
      </c>
      <c r="B32" s="21">
        <v>67.900000000000006</v>
      </c>
      <c r="C32" s="21">
        <v>16.109932145392804</v>
      </c>
      <c r="D32" s="21">
        <v>9.7590532415909674</v>
      </c>
      <c r="E32" s="21">
        <v>6.2553516316683648</v>
      </c>
      <c r="F32" s="25" t="s">
        <v>11</v>
      </c>
      <c r="G32" s="21">
        <v>59.7</v>
      </c>
      <c r="H32" s="21">
        <v>18.681209656646683</v>
      </c>
      <c r="I32" s="21">
        <v>14.889507745376987</v>
      </c>
      <c r="J32" s="21">
        <v>6.7416327739023076</v>
      </c>
      <c r="K32" s="21">
        <v>100.01235017592599</v>
      </c>
    </row>
    <row r="33" spans="1:11" ht="11.1" customHeight="1">
      <c r="A33" s="5" t="s">
        <v>66</v>
      </c>
      <c r="B33" s="21">
        <v>69.900000000000006</v>
      </c>
      <c r="C33" s="21">
        <v>3.1348406409944154</v>
      </c>
      <c r="D33" s="21">
        <v>22.467451931464659</v>
      </c>
      <c r="E33" s="21">
        <v>4.4723473129813982</v>
      </c>
      <c r="F33" s="27" t="s">
        <v>52</v>
      </c>
      <c r="G33" s="21">
        <v>60.1</v>
      </c>
      <c r="H33" s="21">
        <v>16.502536945153825</v>
      </c>
      <c r="I33" s="21">
        <v>12.31513182707519</v>
      </c>
      <c r="J33" s="21">
        <v>11.12890247526561</v>
      </c>
      <c r="K33" s="21">
        <v>100.04657124749463</v>
      </c>
    </row>
    <row r="34" spans="1:11" ht="11.1" customHeight="1">
      <c r="A34" s="26" t="s">
        <v>12</v>
      </c>
      <c r="B34" s="21">
        <v>70.400000000000006</v>
      </c>
      <c r="C34" s="21">
        <v>11.977459886703901</v>
      </c>
      <c r="D34" s="21">
        <v>12.266059971771574</v>
      </c>
      <c r="E34" s="21">
        <v>5.3455662783455757</v>
      </c>
      <c r="F34" s="25" t="s">
        <v>26</v>
      </c>
      <c r="G34" s="21">
        <v>76.3</v>
      </c>
      <c r="H34" s="21">
        <v>8.4938744582045125</v>
      </c>
      <c r="I34" s="21">
        <v>9.8028042107869631</v>
      </c>
      <c r="J34" s="21">
        <v>5.4530218460653126</v>
      </c>
      <c r="K34" s="21">
        <v>100.04970051505678</v>
      </c>
    </row>
    <row r="35" spans="1:11" ht="11.1" customHeight="1">
      <c r="A35" s="25" t="s">
        <v>9</v>
      </c>
      <c r="B35" s="21">
        <v>71</v>
      </c>
      <c r="C35" s="21">
        <v>10.903008463559834</v>
      </c>
      <c r="D35" s="21">
        <v>8.5835402506116569</v>
      </c>
      <c r="E35" s="21">
        <v>9.4725430166348588</v>
      </c>
      <c r="F35" s="25" t="s">
        <v>12</v>
      </c>
      <c r="G35" s="21">
        <v>70.400000000000006</v>
      </c>
      <c r="H35" s="21">
        <v>11.977459886703901</v>
      </c>
      <c r="I35" s="21">
        <v>12.266059971771574</v>
      </c>
      <c r="J35" s="21">
        <v>5.3455662783455757</v>
      </c>
      <c r="K35" s="21">
        <v>99.989086136821044</v>
      </c>
    </row>
    <row r="36" spans="1:11" ht="11.1" customHeight="1">
      <c r="A36" s="25" t="s">
        <v>40</v>
      </c>
      <c r="B36" s="21">
        <v>72.5</v>
      </c>
      <c r="C36" s="21">
        <v>12.577397180218945</v>
      </c>
      <c r="D36" s="21">
        <v>8.4728064862552035</v>
      </c>
      <c r="E36" s="21">
        <v>6.4129459081922491</v>
      </c>
      <c r="F36" s="26" t="s">
        <v>39</v>
      </c>
      <c r="G36" s="21">
        <v>63.8</v>
      </c>
      <c r="H36" s="21">
        <v>21.036149610139681</v>
      </c>
      <c r="I36" s="21">
        <v>10.673992365865844</v>
      </c>
      <c r="J36" s="21">
        <v>4.4921736474057141</v>
      </c>
      <c r="K36" s="21">
        <v>100.00231562341122</v>
      </c>
    </row>
    <row r="37" spans="1:11" ht="11.1" customHeight="1">
      <c r="A37" s="26" t="s">
        <v>43</v>
      </c>
      <c r="B37" s="21">
        <v>73.599999999999994</v>
      </c>
      <c r="C37" s="21">
        <v>11.898168630377377</v>
      </c>
      <c r="D37" s="21">
        <v>9.6876278824144908</v>
      </c>
      <c r="E37" s="21">
        <v>4.7842096158455254</v>
      </c>
      <c r="F37" s="26" t="s">
        <v>40</v>
      </c>
      <c r="G37" s="21">
        <v>72.5</v>
      </c>
      <c r="H37" s="21">
        <v>12.577397180218945</v>
      </c>
      <c r="I37" s="21">
        <v>8.4728064862552035</v>
      </c>
      <c r="J37" s="21">
        <v>6.4129459081922491</v>
      </c>
      <c r="K37" s="21">
        <v>99.963149574666403</v>
      </c>
    </row>
    <row r="38" spans="1:11" ht="10.5" customHeight="1">
      <c r="A38" s="26" t="s">
        <v>25</v>
      </c>
      <c r="B38" s="21">
        <v>74.5</v>
      </c>
      <c r="C38" s="21">
        <v>7.716372035107641</v>
      </c>
      <c r="D38" s="21">
        <v>8.5339386634278362</v>
      </c>
      <c r="E38" s="21">
        <v>9.2574892711661363</v>
      </c>
      <c r="F38" s="26" t="s">
        <v>41</v>
      </c>
      <c r="G38" s="21">
        <v>62.6</v>
      </c>
      <c r="H38" s="21">
        <v>19.703519492640769</v>
      </c>
      <c r="I38" s="21">
        <v>10.7190421027932</v>
      </c>
      <c r="J38" s="21">
        <v>6.9694620891751757</v>
      </c>
      <c r="K38" s="21">
        <v>99.992023684609151</v>
      </c>
    </row>
    <row r="39" spans="1:11" ht="10.5" customHeight="1">
      <c r="A39" s="26" t="s">
        <v>26</v>
      </c>
      <c r="B39" s="21">
        <v>76.3</v>
      </c>
      <c r="C39" s="21">
        <v>8.4938744582045125</v>
      </c>
      <c r="D39" s="21">
        <v>9.8028042107869631</v>
      </c>
      <c r="E39" s="21">
        <v>5.4530218460653126</v>
      </c>
      <c r="F39" s="26" t="s">
        <v>13</v>
      </c>
      <c r="G39" s="21">
        <v>54.6</v>
      </c>
      <c r="H39" s="21">
        <v>27.781019122287908</v>
      </c>
      <c r="I39" s="21">
        <v>12.592557740574206</v>
      </c>
      <c r="J39" s="21">
        <v>5.0360753634065185</v>
      </c>
      <c r="K39" s="21">
        <v>100.00965222626864</v>
      </c>
    </row>
    <row r="40" spans="1:11" ht="10.5" customHeight="1">
      <c r="A40" s="26" t="s">
        <v>10</v>
      </c>
      <c r="B40" s="21">
        <v>77.2</v>
      </c>
      <c r="C40" s="21">
        <v>7.8151348360396318</v>
      </c>
      <c r="D40" s="21">
        <v>10.948258265584005</v>
      </c>
      <c r="E40" s="21">
        <v>4.0030127144229795</v>
      </c>
      <c r="F40" s="26" t="s">
        <v>27</v>
      </c>
      <c r="G40" s="21">
        <v>65.7</v>
      </c>
      <c r="H40" s="21">
        <v>15.775669987527182</v>
      </c>
      <c r="I40" s="21">
        <v>11.929700514123414</v>
      </c>
      <c r="J40" s="21">
        <v>6.587592267038116</v>
      </c>
      <c r="K40" s="21">
        <v>99.992962768688713</v>
      </c>
    </row>
    <row r="41" spans="1:11" ht="10.5" customHeight="1">
      <c r="B41" s="22"/>
      <c r="C41" s="22"/>
      <c r="D41" s="23"/>
      <c r="E41" s="22"/>
      <c r="I41" s="19"/>
    </row>
    <row r="42" spans="1:11" ht="12.95" customHeight="1">
      <c r="A42" s="2"/>
    </row>
    <row r="43" spans="1:11" ht="12.95" customHeight="1">
      <c r="A43" s="2"/>
    </row>
    <row r="44" spans="1:11" ht="12.95" customHeight="1">
      <c r="A44" s="2"/>
    </row>
    <row r="48" spans="1:11" ht="12.95" customHeight="1">
      <c r="J48" s="50" t="s">
        <v>51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F27"/>
  <sheetViews>
    <sheetView zoomScaleNormal="100" zoomScalePageLayoutView="85" workbookViewId="0"/>
  </sheetViews>
  <sheetFormatPr baseColWidth="10" defaultRowHeight="12.75"/>
  <cols>
    <col min="1" max="1" width="19.28515625" customWidth="1"/>
  </cols>
  <sheetData>
    <row r="1" spans="1:6">
      <c r="A1" s="96" t="s">
        <v>101</v>
      </c>
      <c r="B1" s="97"/>
      <c r="C1" s="97"/>
      <c r="D1" s="97"/>
      <c r="E1" s="97"/>
    </row>
    <row r="2" spans="1:6" ht="10.15" customHeight="1" thickBot="1">
      <c r="A2" s="98"/>
      <c r="B2" s="97"/>
      <c r="C2" s="97"/>
      <c r="D2" s="97"/>
      <c r="E2" s="97"/>
    </row>
    <row r="3" spans="1:6" ht="33" customHeight="1">
      <c r="A3" s="211"/>
      <c r="B3" s="213" t="s">
        <v>59</v>
      </c>
      <c r="C3" s="214"/>
      <c r="D3" s="213" t="s">
        <v>60</v>
      </c>
      <c r="E3" s="213"/>
      <c r="F3" s="135"/>
    </row>
    <row r="4" spans="1:6">
      <c r="A4" s="212"/>
      <c r="B4" s="116">
        <v>2017</v>
      </c>
      <c r="C4" s="117">
        <v>2018</v>
      </c>
      <c r="D4" s="116">
        <v>2017</v>
      </c>
      <c r="E4" s="116">
        <v>2018</v>
      </c>
      <c r="F4" s="135"/>
    </row>
    <row r="5" spans="1:6">
      <c r="A5" s="99"/>
      <c r="B5" s="100"/>
      <c r="C5" s="115"/>
      <c r="D5" s="100"/>
      <c r="E5" s="100"/>
    </row>
    <row r="6" spans="1:6">
      <c r="A6" s="101" t="s">
        <v>105</v>
      </c>
      <c r="B6" s="118">
        <v>5014</v>
      </c>
      <c r="C6" s="133">
        <v>5163</v>
      </c>
      <c r="D6" s="118">
        <v>5779</v>
      </c>
      <c r="E6" s="118">
        <v>5968</v>
      </c>
    </row>
    <row r="7" spans="1:6">
      <c r="A7" s="99" t="s">
        <v>9</v>
      </c>
      <c r="B7" s="119">
        <v>4536</v>
      </c>
      <c r="C7" s="134">
        <v>4617</v>
      </c>
      <c r="D7" s="119">
        <v>5077</v>
      </c>
      <c r="E7" s="119">
        <v>5210</v>
      </c>
    </row>
    <row r="8" spans="1:6">
      <c r="A8" s="99" t="s">
        <v>22</v>
      </c>
      <c r="B8" s="119">
        <v>5318</v>
      </c>
      <c r="C8" s="134">
        <v>5536</v>
      </c>
      <c r="D8" s="119">
        <v>6213</v>
      </c>
      <c r="E8" s="119">
        <v>6485</v>
      </c>
    </row>
    <row r="9" spans="1:6">
      <c r="A9" s="99" t="s">
        <v>136</v>
      </c>
      <c r="B9" s="119">
        <v>5936</v>
      </c>
      <c r="C9" s="134">
        <v>6032</v>
      </c>
      <c r="D9" s="119">
        <v>6927</v>
      </c>
      <c r="E9" s="119">
        <v>7053</v>
      </c>
    </row>
    <row r="10" spans="1:6">
      <c r="A10" s="99" t="s">
        <v>137</v>
      </c>
      <c r="B10" s="119">
        <v>5465</v>
      </c>
      <c r="C10" s="134">
        <v>5672</v>
      </c>
      <c r="D10" s="119">
        <v>6493</v>
      </c>
      <c r="E10" s="119">
        <v>6767</v>
      </c>
    </row>
    <row r="11" spans="1:6">
      <c r="A11" s="99" t="s">
        <v>10</v>
      </c>
      <c r="B11" s="119">
        <v>5281</v>
      </c>
      <c r="C11" s="134">
        <v>5238</v>
      </c>
      <c r="D11" s="119">
        <v>5903</v>
      </c>
      <c r="E11" s="119">
        <v>5853</v>
      </c>
    </row>
    <row r="12" spans="1:6">
      <c r="A12" s="99" t="s">
        <v>23</v>
      </c>
      <c r="B12" s="119">
        <v>5915</v>
      </c>
      <c r="C12" s="134">
        <v>6154</v>
      </c>
      <c r="D12" s="119">
        <v>6864</v>
      </c>
      <c r="E12" s="119">
        <v>7183</v>
      </c>
    </row>
    <row r="13" spans="1:6">
      <c r="A13" s="99" t="s">
        <v>24</v>
      </c>
      <c r="B13" s="119">
        <v>5654</v>
      </c>
      <c r="C13" s="134">
        <v>5833</v>
      </c>
      <c r="D13" s="119">
        <v>6761</v>
      </c>
      <c r="E13" s="119">
        <v>6942</v>
      </c>
    </row>
    <row r="14" spans="1:6">
      <c r="A14" s="99" t="s">
        <v>25</v>
      </c>
      <c r="B14" s="119">
        <v>4859</v>
      </c>
      <c r="C14" s="134">
        <v>5151</v>
      </c>
      <c r="D14" s="119">
        <v>5255</v>
      </c>
      <c r="E14" s="119">
        <v>5594</v>
      </c>
    </row>
    <row r="15" spans="1:6">
      <c r="A15" s="99" t="s">
        <v>11</v>
      </c>
      <c r="B15" s="119">
        <v>4868</v>
      </c>
      <c r="C15" s="134">
        <v>5042</v>
      </c>
      <c r="D15" s="119">
        <v>5557</v>
      </c>
      <c r="E15" s="119">
        <v>5798</v>
      </c>
    </row>
    <row r="16" spans="1:6">
      <c r="A16" s="99" t="s">
        <v>52</v>
      </c>
      <c r="B16" s="119">
        <v>4944</v>
      </c>
      <c r="C16" s="134">
        <v>5127</v>
      </c>
      <c r="D16" s="119">
        <v>5609</v>
      </c>
      <c r="E16" s="119">
        <v>5803</v>
      </c>
    </row>
    <row r="17" spans="1:5">
      <c r="A17" s="99" t="s">
        <v>26</v>
      </c>
      <c r="B17" s="119">
        <v>5856</v>
      </c>
      <c r="C17" s="134">
        <v>6124</v>
      </c>
      <c r="D17" s="119">
        <v>6539</v>
      </c>
      <c r="E17" s="119">
        <v>6846</v>
      </c>
    </row>
    <row r="18" spans="1:5">
      <c r="A18" s="99" t="s">
        <v>12</v>
      </c>
      <c r="B18" s="119">
        <v>5985</v>
      </c>
      <c r="C18" s="134">
        <v>6151</v>
      </c>
      <c r="D18" s="119">
        <v>6932</v>
      </c>
      <c r="E18" s="119">
        <v>7134</v>
      </c>
    </row>
    <row r="19" spans="1:5">
      <c r="A19" s="99" t="s">
        <v>142</v>
      </c>
      <c r="B19" s="119">
        <v>4039</v>
      </c>
      <c r="C19" s="134">
        <v>4159</v>
      </c>
      <c r="D19" s="119">
        <v>4727</v>
      </c>
      <c r="E19" s="119">
        <v>4892</v>
      </c>
    </row>
    <row r="20" spans="1:5">
      <c r="A20" s="99" t="s">
        <v>139</v>
      </c>
      <c r="B20" s="119">
        <v>4674</v>
      </c>
      <c r="C20" s="134">
        <v>4838</v>
      </c>
      <c r="D20" s="119">
        <v>5262</v>
      </c>
      <c r="E20" s="119">
        <v>5391</v>
      </c>
    </row>
    <row r="21" spans="1:5">
      <c r="A21" s="99" t="s">
        <v>143</v>
      </c>
      <c r="B21" s="119">
        <v>6035</v>
      </c>
      <c r="C21" s="134">
        <v>6173</v>
      </c>
      <c r="D21" s="119">
        <v>7456</v>
      </c>
      <c r="E21" s="119">
        <v>7622</v>
      </c>
    </row>
    <row r="22" spans="1:5">
      <c r="A22" s="99" t="s">
        <v>13</v>
      </c>
      <c r="B22" s="119">
        <v>6601</v>
      </c>
      <c r="C22" s="134">
        <v>6720</v>
      </c>
      <c r="D22" s="119">
        <v>9298</v>
      </c>
      <c r="E22" s="119">
        <v>9415</v>
      </c>
    </row>
    <row r="23" spans="1:5">
      <c r="A23" s="99" t="s">
        <v>141</v>
      </c>
      <c r="B23" s="119">
        <v>5257</v>
      </c>
      <c r="C23" s="134">
        <v>5430</v>
      </c>
      <c r="D23" s="119">
        <v>6215</v>
      </c>
      <c r="E23" s="119">
        <v>6420</v>
      </c>
    </row>
    <row r="24" spans="1:5">
      <c r="A24" s="99"/>
      <c r="B24" s="100"/>
      <c r="C24" s="100"/>
      <c r="D24" s="97"/>
      <c r="E24" s="97"/>
    </row>
    <row r="25" spans="1:5">
      <c r="A25" s="102" t="s">
        <v>102</v>
      </c>
      <c r="B25" s="100"/>
      <c r="C25" s="100"/>
      <c r="D25" s="97"/>
      <c r="E25" s="97"/>
    </row>
    <row r="26" spans="1:5">
      <c r="A26" s="99" t="s">
        <v>103</v>
      </c>
      <c r="B26" s="97"/>
      <c r="C26" s="97"/>
      <c r="D26" s="97"/>
      <c r="E26" s="97"/>
    </row>
    <row r="27" spans="1:5">
      <c r="A27" s="102"/>
    </row>
  </sheetData>
  <mergeCells count="3">
    <mergeCell ref="A3:A4"/>
    <mergeCell ref="B3:C3"/>
    <mergeCell ref="D3:E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B4.1a</vt:lpstr>
      <vt:lpstr>B4.1b</vt:lpstr>
      <vt:lpstr>B4.2</vt:lpstr>
      <vt:lpstr>B4.3</vt:lpstr>
      <vt:lpstr>B4.4</vt:lpstr>
      <vt:lpstr>B4.5</vt:lpstr>
      <vt:lpstr>Datos Gráficos</vt:lpstr>
      <vt:lpstr>B4.6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Hidalgo García Raquel</cp:lastModifiedBy>
  <cp:lastPrinted>2017-02-09T07:08:39Z</cp:lastPrinted>
  <dcterms:created xsi:type="dcterms:W3CDTF">1999-12-15T09:33:34Z</dcterms:created>
  <dcterms:modified xsi:type="dcterms:W3CDTF">2021-04-23T08:29:11Z</dcterms:modified>
</cp:coreProperties>
</file>