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/>
  <bookViews>
    <workbookView xWindow="-15" yWindow="-15" windowWidth="9600" windowHeight="11505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  <sheet name="B4.7" sheetId="72" r:id="rId10"/>
    <sheet name="B4.8" sheetId="73" r:id="rId11"/>
    <sheet name="B4.9" sheetId="74" r:id="rId12"/>
    <sheet name="B4.10" sheetId="7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C7" localSheetId="9">#REF!</definedName>
    <definedName name="_C7" localSheetId="11">#REF!</definedName>
    <definedName name="_C7" localSheetId="0">#REF!</definedName>
    <definedName name="_C7">#REF!</definedName>
    <definedName name="_TAB1">#REF!</definedName>
    <definedName name="A">#N/A</definedName>
    <definedName name="A_impresión_IM" localSheetId="9">#REF!</definedName>
    <definedName name="A_impresión_IM" localSheetId="11">#REF!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[3]Calcul_B1.1!$A$1:$L$37</definedName>
    <definedName name="CLA" localSheetId="9">#REF!</definedName>
    <definedName name="CLA" localSheetId="11">#REF!</definedName>
    <definedName name="CLA" localSheetId="0">#REF!</definedName>
    <definedName name="CLA">#REF!</definedName>
    <definedName name="CLB" localSheetId="9">#REF!</definedName>
    <definedName name="CLB" localSheetId="11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9">#REF!</definedName>
    <definedName name="esped" localSheetId="11">#REF!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9">#REF!</definedName>
    <definedName name="G1_" localSheetId="11">#REF!</definedName>
    <definedName name="G1_" localSheetId="0">#REF!</definedName>
    <definedName name="G1_">#REF!</definedName>
    <definedName name="Germany_5B">[2]GRAD!$E$39:$G$39</definedName>
    <definedName name="GSOCIAL" localSheetId="9">#REF!</definedName>
    <definedName name="GSOCIAL" localSheetId="11">#REF!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9">#REF!</definedName>
    <definedName name="M7_" localSheetId="11">#REF!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9">#REF!</definedName>
    <definedName name="T4_" localSheetId="11">#REF!</definedName>
    <definedName name="T4_" localSheetId="0">#REF!</definedName>
    <definedName name="T4_">#REF!</definedName>
    <definedName name="T7_" localSheetId="9">#REF!</definedName>
    <definedName name="T7_" localSheetId="11">#REF!</definedName>
    <definedName name="T7_" localSheetId="0">#REF!</definedName>
    <definedName name="T7_">#REF!</definedName>
    <definedName name="TC" localSheetId="9">#REF!</definedName>
    <definedName name="TC" localSheetId="11">#REF!</definedName>
    <definedName name="TC" localSheetId="0">#REF!</definedName>
    <definedName name="TC">#REF!</definedName>
    <definedName name="TM" localSheetId="9">#REF!</definedName>
    <definedName name="TM" localSheetId="11">#REF!</definedName>
    <definedName name="TM" localSheetId="0">#REF!</definedName>
    <definedName name="TM">#REF!</definedName>
    <definedName name="toto">[11]Data5.11a!$B$3:$C$34</definedName>
    <definedName name="TSC" localSheetId="9">#REF!</definedName>
    <definedName name="TSC" localSheetId="11">#REF!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</workbook>
</file>

<file path=xl/calcChain.xml><?xml version="1.0" encoding="utf-8"?>
<calcChain xmlns="http://schemas.openxmlformats.org/spreadsheetml/2006/main">
  <c r="C16" i="75" l="1"/>
</calcChain>
</file>

<file path=xl/comments1.xml><?xml version="1.0" encoding="utf-8"?>
<comments xmlns="http://schemas.openxmlformats.org/spreadsheetml/2006/main">
  <authors>
    <author xml:space="preserve"> </author>
  </authors>
  <commentList>
    <comment ref="A22" author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<sst xmlns="http://schemas.openxmlformats.org/spreadsheetml/2006/main" count="565" uniqueCount="185">
  <si>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</si>
  <si>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</si>
  <si>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</si>
  <si>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</si>
  <si>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</si>
  <si>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</si>
  <si>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</si>
  <si>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</si>
  <si>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</si>
  <si>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</si>
  <si>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</si>
  <si>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</si>
  <si>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</si>
  <si>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</si>
  <si>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</si>
  <si>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</si>
  <si>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</si>
  <si>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</si>
  <si>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</si>
  <si>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</si>
  <si>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</si>
  <si>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</si>
  <si>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</si>
  <si>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</si>
  <si>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</si>
  <si>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</si>
  <si>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</si>
  <si>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</si>
  <si>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</si>
  <si>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</si>
  <si>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</si>
  <si>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</si>
  <si>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</si>
  <si>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</si>
  <si>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</si>
  <si>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</si>
  <si>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</si>
  <si>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</si>
  <si>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</si>
  <si>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</si>
  <si>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</si>
  <si>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</si>
  <si>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</si>
  <si>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</si>
  <si>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</si>
  <si>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</si>
  <si>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</si>
  <si>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</si>
  <si>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</si>
  <si>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</si>
  <si>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</si>
  <si>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</si>
  <si>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</si>
  <si>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</si>
  <si>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</si>
  <si>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</si>
  <si>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</si>
  <si>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</si>
  <si>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</si>
  <si>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</si>
  <si>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</si>
  <si>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</si>
  <si>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</si>
  <si>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</si>
  <si>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</si>
  <si>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</si>
  <si>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</si>
  <si>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</si>
  <si>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</si>
  <si>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</si>
  <si>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</si>
  <si>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</si>
  <si>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</si>
  <si>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</si>
  <si>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</si>
  <si>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</si>
  <si>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</si>
  <si>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</si>
  <si>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</si>
  <si>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</si>
  <si>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</si>
  <si>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</si>
  <si>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</si>
  <si>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</si>
  <si>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</si>
  <si>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</si>
  <si>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</si>
  <si>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</si>
  <si>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</si>
  <si>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</si>
  <si>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</si>
  <si>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</si>
  <si>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</si>
  <si>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</si>
  <si>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</si>
  <si>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</si>
  <si>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</si>
  <si>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</si>
  <si>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</si>
  <si>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</si>
  <si>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</si>
  <si>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</si>
  <si>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</si>
  <si>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</si>
  <si>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</si>
  <si>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</si>
  <si>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</si>
  <si>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</si>
  <si>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</si>
  <si>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</si>
  <si>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</si>
  <si>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</si>
  <si>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</si>
  <si>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</si>
  <si>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</si>
  <si>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</si>
  <si>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 xml:space="preserve"> </t>
  </si>
  <si>
    <t>TOTAL
(miles de EUROS)</t>
  </si>
  <si>
    <t>Gastos de capital</t>
  </si>
  <si>
    <t>Activos y pasivos finan-cieros</t>
  </si>
  <si>
    <t>Conciertos y subv. a la ens. Privada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</si>
  <si>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</si>
  <si>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</si>
  <si>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</si>
  <si>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</si>
  <si>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Ministerio de Educación y Ciencia antes de transf.</t>
  </si>
  <si>
    <t>Ministerio de Educación y Ciencia</t>
  </si>
  <si>
    <t>B4.5</t>
  </si>
  <si>
    <t>Distribución porcentual del gasto de las Administraciones Públicas en educación por naturaleza económica.</t>
  </si>
  <si>
    <t>Las cifras de la educación en España. Estadísticas e indicadores. Edición 2018</t>
  </si>
  <si>
    <t>B4. El gasto en educación. Año 2015</t>
  </si>
  <si>
    <t>Evolución del gasto público en educación, incluidos capítulos financieros (2006 a 2015)</t>
  </si>
  <si>
    <t>Evolución del gasto público en educación, excluidos capítulos financieros  (2006 a 2015)</t>
  </si>
  <si>
    <t>Evolución del gasto de los hogares en educación (2006 a 2015)</t>
  </si>
  <si>
    <t>B4.1a. Evolución del gasto público en educación, incluidos capítulos financieros (2006 a 2015)</t>
  </si>
  <si>
    <t>B4.1b. Evolución del gasto público en educación, excluidos capítulos financieros (2006 a 2015)</t>
  </si>
  <si>
    <t>B4.3. Participación de las Administraciones públicas en el gasto público en educación, por actividad educativa. Año 2015</t>
  </si>
  <si>
    <t>B4.4. Distribución porcentual del gasto público en educación por actividad educativa. Año 2015</t>
  </si>
  <si>
    <t>B4.5. Distribución porcentual del gasto de las Administraciones Públicas en educación por naturaleza económica. Año 2015</t>
  </si>
  <si>
    <t>Equipamiento</t>
  </si>
  <si>
    <t>B4.7. Estructura de gastos de los centros privados de enseñanza. Curso 2014-2015</t>
  </si>
  <si>
    <t xml:space="preserve">          Educación no universitaria</t>
  </si>
  <si>
    <r>
      <t xml:space="preserve">TOTAL </t>
    </r>
    <r>
      <rPr>
        <b/>
        <i/>
        <sz val="7"/>
        <rFont val="Arial"/>
        <family val="2"/>
      </rPr>
      <t xml:space="preserve">
</t>
    </r>
    <r>
      <rPr>
        <sz val="7"/>
        <rFont val="Arial"/>
        <family val="2"/>
      </rPr>
      <t>(miles de euros)</t>
    </r>
  </si>
  <si>
    <t>%</t>
  </si>
  <si>
    <t>DISTRIBUCIÓN PORCENTUAL</t>
  </si>
  <si>
    <t>Gastos Corrientes</t>
  </si>
  <si>
    <t>Gastos de Profesorado</t>
  </si>
  <si>
    <t>Gastos de otro personal</t>
  </si>
  <si>
    <t>Gastos en bienes y servicios</t>
  </si>
  <si>
    <t>Impuestos</t>
  </si>
  <si>
    <t xml:space="preserve">TOTAL </t>
  </si>
  <si>
    <t>Comunidad Valenciana</t>
  </si>
  <si>
    <t>Ceuta</t>
  </si>
  <si>
    <t>Melilla</t>
  </si>
  <si>
    <t>B4.8. Estructura de ingresos de los centros privados de enseñanza. Curso 2014-2015</t>
  </si>
  <si>
    <t>TOTAL 
(miles de euros)</t>
  </si>
  <si>
    <t>Ingresos Corrientes</t>
  </si>
  <si>
    <t>Ingresos de capital</t>
  </si>
  <si>
    <t>Ingresos por cuotas</t>
  </si>
  <si>
    <t>Ingresos por servicios complementarios</t>
  </si>
  <si>
    <t>Subvenciones corrientes públicas</t>
  </si>
  <si>
    <t>Transferencias corrientes privadas</t>
  </si>
  <si>
    <t>Otros ingresos corrientes</t>
  </si>
  <si>
    <t>Baleares (Illes)</t>
  </si>
  <si>
    <t>B4.9. Estructura de gastos de los centros privados de enseñanza. Curso 2014-2015</t>
  </si>
  <si>
    <t xml:space="preserve">          Educación universitaria</t>
  </si>
  <si>
    <r>
      <t xml:space="preserve">TOTAL 
</t>
    </r>
    <r>
      <rPr>
        <sz val="7"/>
        <rFont val="Arial"/>
        <family val="2"/>
      </rPr>
      <t>(miles de euros)</t>
    </r>
  </si>
  <si>
    <t>-</t>
  </si>
  <si>
    <t>B4.10. Estructura de ingresos de los centros privados de enseñanza. Curso 2014-2015</t>
  </si>
  <si>
    <t xml:space="preserve">             Educación universitaria</t>
  </si>
  <si>
    <t>Subvenciones corrientes (públicas)</t>
  </si>
  <si>
    <t>B4.7</t>
  </si>
  <si>
    <t>Estructura de gastos de los centros privados de enseñanza. Enseñanza no universitaria. Curso 2014-2015</t>
  </si>
  <si>
    <t>B4.8</t>
  </si>
  <si>
    <t>Estructura de ingresos de los centros privados de enseñanza. Enseñanza no universitaria. Curso 2014-2015</t>
  </si>
  <si>
    <t>B4.9</t>
  </si>
  <si>
    <t>Estructura de gastos de los centros privados de enseñanza. Educación universitaria. Curso 2014-2015</t>
  </si>
  <si>
    <t>Estructura de ingresos de los centros privados de enseñanza. Educación universitaria. Curso 2014-2015</t>
  </si>
  <si>
    <t>B4.10</t>
  </si>
  <si>
    <t>-  Estadística del Gasto Público en Educación. Presupuesto liquidado. S.G. de Estadística y Estudios del Ministerio de Educación, Cultura y Deporte</t>
  </si>
  <si>
    <t>- Contabilidad Nacional. INE. (Datos del gasto privado de las familias en educación y P.I.B.) (tabla B4.2)</t>
  </si>
  <si>
    <t>- Encuesta de Financiación y Gasto de la Enseñanza Privada. Curso 2009-2010. I.N.E.. (tabla B4.7 a B4.10)</t>
  </si>
  <si>
    <t>B4.2. Evolución del gasto de los hogares en educación (2011 a 2015)</t>
  </si>
  <si>
    <t>2015 (p)</t>
  </si>
  <si>
    <t>(p) dato 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</si>
</sst>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-* #,##0_-;\-* #,##0_-;_-* &quot;-&quot;_-;_-@_-"/>
    <numFmt numFmtId="175" formatCode="_-* #,##0.00_-;\-* #,##0.00_-;_-* &quot;-&quot;??_-;_-@_-"/>
    <numFmt numFmtId="176" formatCode="_(* #,##0.00_);_(* \(#,##0.00\);_(* &quot;-&quot;??_);_(@_)"/>
    <numFmt numFmtId="177" formatCode="0.0%"/>
  </numFmts>
  <fonts count="5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6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0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0" fontId="2" fillId="20" borderId="1"/>
    <xf numFmtId="0" fontId="34" fillId="21" borderId="2" applyNumberFormat="0" applyAlignment="0" applyProtection="0"/>
    <xf numFmtId="0" fontId="2" fillId="0" borderId="5"/>
    <xf numFmtId="0" fontId="35" fillId="22" borderId="3" applyNumberFormat="0" applyAlignment="0" applyProtection="0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174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6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7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1" fillId="7" borderId="2" applyNumberFormat="0" applyAlignment="0" applyProtection="0"/>
    <xf numFmtId="0" fontId="23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2" fillId="0" borderId="4" applyNumberFormat="0" applyFill="0" applyAlignment="0" applyProtection="0"/>
    <xf numFmtId="0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50" fillId="0" borderId="0"/>
    <xf numFmtId="0" fontId="49" fillId="0" borderId="0"/>
    <xf numFmtId="0" fontId="50" fillId="0" borderId="0"/>
    <xf numFmtId="0" fontId="2" fillId="0" borderId="0"/>
    <xf numFmtId="0" fontId="51" fillId="0" borderId="0"/>
    <xf numFmtId="0" fontId="1" fillId="0" borderId="0"/>
    <xf numFmtId="166" fontId="3" fillId="0" borderId="0"/>
    <xf numFmtId="166" fontId="3" fillId="0" borderId="0"/>
    <xf numFmtId="0" fontId="1" fillId="0" borderId="0"/>
    <xf numFmtId="166" fontId="3" fillId="0" borderId="0"/>
    <xf numFmtId="0" fontId="1" fillId="0" borderId="0"/>
    <xf numFmtId="0" fontId="7" fillId="0" borderId="0"/>
    <xf numFmtId="0" fontId="1" fillId="0" borderId="0"/>
    <xf numFmtId="0" fontId="43" fillId="29" borderId="15" applyNumberFormat="0" applyFont="0" applyAlignment="0" applyProtection="0"/>
    <xf numFmtId="0" fontId="44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5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6" fillId="0" borderId="19"/>
    <xf numFmtId="0" fontId="47" fillId="0" borderId="0"/>
    <xf numFmtId="0" fontId="12" fillId="24" borderId="0">
      <alignment horizontal="center"/>
    </xf>
    <xf numFmtId="0" fontId="31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8" fillId="0" borderId="0" applyNumberFormat="0" applyFill="0" applyBorder="0" applyAlignment="0" applyProtection="0"/>
    <xf numFmtId="0" fontId="7" fillId="0" borderId="0"/>
    <xf numFmtId="0" fontId="7" fillId="0" borderId="0"/>
  </cellStyleXfs>
  <cellXfs count="262">
    <xf numFmtId="0" fontId="0" fillId="0" borderId="0" xfId="0"/>
    <xf numFmtId="165" fontId="2" fillId="0" borderId="0" xfId="78" applyNumberFormat="1" applyFont="1" applyFill="1"/>
    <xf numFmtId="0" fontId="2" fillId="0" borderId="0" xfId="0" applyFont="1" applyFill="1"/>
    <xf numFmtId="165" fontId="5" fillId="0" borderId="0" xfId="78" applyNumberFormat="1" applyFont="1" applyFill="1" applyBorder="1" applyAlignment="1">
      <alignment horizontal="left"/>
    </xf>
    <xf numFmtId="165" fontId="6" fillId="0" borderId="0" xfId="78" applyNumberFormat="1" applyFont="1" applyFill="1" applyBorder="1"/>
    <xf numFmtId="165" fontId="6" fillId="0" borderId="0" xfId="78" applyNumberFormat="1" applyFont="1" applyFill="1" applyBorder="1" applyAlignment="1">
      <alignment horizontal="left"/>
    </xf>
    <xf numFmtId="0" fontId="2" fillId="0" borderId="20" xfId="0" applyFont="1" applyFill="1" applyBorder="1"/>
    <xf numFmtId="165" fontId="5" fillId="0" borderId="21" xfId="74" applyNumberFormat="1" applyFont="1" applyFill="1" applyBorder="1" applyAlignment="1" applyProtection="1">
      <alignment horizontal="left" vertical="center"/>
    </xf>
    <xf numFmtId="165" fontId="6" fillId="0" borderId="0" xfId="77" applyNumberFormat="1" applyFont="1" applyFill="1"/>
    <xf numFmtId="0" fontId="6" fillId="0" borderId="0" xfId="0" applyFont="1" applyFill="1"/>
    <xf numFmtId="165" fontId="6" fillId="0" borderId="0" xfId="75" applyNumberFormat="1" applyFont="1" applyFill="1"/>
    <xf numFmtId="165" fontId="5" fillId="0" borderId="0" xfId="74" applyNumberFormat="1" applyFont="1" applyFill="1"/>
    <xf numFmtId="165" fontId="6" fillId="0" borderId="0" xfId="75" applyNumberFormat="1" applyFont="1" applyFill="1" applyAlignment="1" applyProtection="1">
      <alignment horizontal="left"/>
    </xf>
    <xf numFmtId="165" fontId="6" fillId="0" borderId="0" xfId="74" applyNumberFormat="1" applyFont="1" applyFill="1" applyAlignment="1">
      <alignment horizontal="left"/>
    </xf>
    <xf numFmtId="165" fontId="6" fillId="0" borderId="0" xfId="74" applyNumberFormat="1" applyFont="1" applyFill="1"/>
    <xf numFmtId="165" fontId="5" fillId="0" borderId="0" xfId="75" applyNumberFormat="1" applyFont="1" applyFill="1"/>
    <xf numFmtId="165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67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80" applyFont="1" applyFill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65" fontId="5" fillId="0" borderId="21" xfId="74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65" fontId="24" fillId="0" borderId="20" xfId="77" applyNumberFormat="1" applyFont="1" applyFill="1" applyBorder="1"/>
    <xf numFmtId="0" fontId="25" fillId="0" borderId="0" xfId="0" applyFont="1" applyFill="1"/>
    <xf numFmtId="0" fontId="2" fillId="0" borderId="0" xfId="73" applyFont="1" applyFill="1"/>
    <xf numFmtId="165" fontId="2" fillId="0" borderId="20" xfId="73" applyNumberFormat="1" applyFont="1" applyFill="1" applyBorder="1"/>
    <xf numFmtId="0" fontId="6" fillId="0" borderId="0" xfId="0" applyFont="1" applyFill="1" applyBorder="1"/>
    <xf numFmtId="0" fontId="25" fillId="0" borderId="0" xfId="76" applyFont="1"/>
    <xf numFmtId="0" fontId="5" fillId="0" borderId="21" xfId="74" applyNumberFormat="1" applyFont="1" applyFill="1" applyBorder="1" applyAlignment="1" applyProtection="1">
      <alignment horizontal="center" vertical="center" wrapText="1"/>
    </xf>
    <xf numFmtId="3" fontId="6" fillId="0" borderId="0" xfId="78" applyNumberFormat="1" applyFont="1" applyFill="1" applyBorder="1" applyAlignment="1">
      <alignment horizontal="right"/>
    </xf>
    <xf numFmtId="3" fontId="6" fillId="0" borderId="0" xfId="78" applyNumberFormat="1" applyFont="1" applyFill="1" applyBorder="1"/>
    <xf numFmtId="3" fontId="2" fillId="0" borderId="0" xfId="78" applyNumberFormat="1" applyFont="1" applyFill="1"/>
    <xf numFmtId="3" fontId="2" fillId="0" borderId="20" xfId="73" applyNumberFormat="1" applyFont="1" applyFill="1" applyBorder="1"/>
    <xf numFmtId="3" fontId="5" fillId="0" borderId="21" xfId="74" applyNumberFormat="1" applyFont="1" applyFill="1" applyBorder="1" applyAlignment="1" applyProtection="1">
      <alignment horizontal="center" vertical="center" wrapText="1"/>
    </xf>
    <xf numFmtId="165" fontId="2" fillId="0" borderId="0" xfId="0" applyNumberFormat="1" applyFont="1"/>
    <xf numFmtId="0" fontId="5" fillId="0" borderId="23" xfId="74" applyNumberFormat="1" applyFont="1" applyFill="1" applyBorder="1" applyAlignment="1" applyProtection="1">
      <alignment horizontal="centerContinuous" vertical="center"/>
    </xf>
    <xf numFmtId="0" fontId="6" fillId="0" borderId="23" xfId="73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right"/>
    </xf>
    <xf numFmtId="0" fontId="26" fillId="0" borderId="0" xfId="77" applyNumberFormat="1" applyFont="1" applyFill="1" applyBorder="1" applyAlignment="1">
      <alignment horizontal="center"/>
    </xf>
    <xf numFmtId="173" fontId="5" fillId="0" borderId="0" xfId="74" applyNumberFormat="1" applyFont="1" applyFill="1"/>
    <xf numFmtId="0" fontId="5" fillId="0" borderId="24" xfId="0" applyFont="1" applyFill="1" applyBorder="1" applyAlignment="1">
      <alignment horizontal="center" vertical="center" wrapText="1"/>
    </xf>
    <xf numFmtId="165" fontId="5" fillId="0" borderId="25" xfId="74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165" fontId="2" fillId="0" borderId="0" xfId="0" applyNumberFormat="1" applyFont="1" applyFill="1"/>
    <xf numFmtId="0" fontId="23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3" fillId="34" borderId="22" xfId="0" applyFont="1" applyFill="1" applyBorder="1"/>
    <xf numFmtId="0" fontId="25" fillId="0" borderId="0" xfId="67" applyFont="1" applyFill="1" applyBorder="1" applyAlignment="1"/>
    <xf numFmtId="0" fontId="6" fillId="0" borderId="26" xfId="0" applyFont="1" applyFill="1" applyBorder="1"/>
    <xf numFmtId="165" fontId="6" fillId="0" borderId="0" xfId="78" applyNumberFormat="1" applyFont="1" applyFill="1" applyAlignment="1">
      <alignment wrapText="1"/>
    </xf>
    <xf numFmtId="0" fontId="7" fillId="31" borderId="0" xfId="67" applyFill="1"/>
    <xf numFmtId="0" fontId="7" fillId="0" borderId="0" xfId="67"/>
    <xf numFmtId="0" fontId="52" fillId="33" borderId="0" xfId="67" applyFont="1" applyFill="1"/>
    <xf numFmtId="0" fontId="7" fillId="33" borderId="0" xfId="67" applyFill="1"/>
    <xf numFmtId="0" fontId="53" fillId="33" borderId="0" xfId="67" applyFont="1" applyFill="1"/>
    <xf numFmtId="0" fontId="54" fillId="33" borderId="0" xfId="67" applyFont="1" applyFill="1"/>
    <xf numFmtId="0" fontId="55" fillId="26" borderId="27" xfId="67" applyFont="1" applyFill="1" applyBorder="1"/>
    <xf numFmtId="0" fontId="7" fillId="26" borderId="27" xfId="67" applyFont="1" applyFill="1" applyBorder="1"/>
    <xf numFmtId="0" fontId="56" fillId="33" borderId="0" xfId="67" applyFont="1" applyFill="1"/>
    <xf numFmtId="0" fontId="57" fillId="33" borderId="0" xfId="67" quotePrefix="1" applyFont="1" applyFill="1"/>
    <xf numFmtId="165" fontId="6" fillId="0" borderId="0" xfId="79" applyNumberFormat="1" applyFont="1" applyFill="1" applyBorder="1" applyAlignment="1">
      <alignment horizontal="left"/>
    </xf>
    <xf numFmtId="0" fontId="6" fillId="0" borderId="0" xfId="67" applyFont="1" applyFill="1"/>
    <xf numFmtId="0" fontId="7" fillId="35" borderId="0" xfId="67" applyFill="1"/>
    <xf numFmtId="165" fontId="6" fillId="0" borderId="0" xfId="79" quotePrefix="1" applyNumberFormat="1" applyFont="1" applyFill="1" applyBorder="1" applyAlignment="1">
      <alignment horizontal="left"/>
    </xf>
    <xf numFmtId="165" fontId="6" fillId="0" borderId="0" xfId="79" applyNumberFormat="1" applyFont="1" applyFill="1" applyBorder="1"/>
    <xf numFmtId="165" fontId="6" fillId="0" borderId="0" xfId="79" applyNumberFormat="1" applyFont="1" applyFill="1"/>
    <xf numFmtId="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65" fontId="5" fillId="0" borderId="0" xfId="79" applyNumberFormat="1" applyFont="1" applyFill="1" applyAlignment="1">
      <alignment horizontal="left"/>
    </xf>
    <xf numFmtId="0" fontId="5" fillId="0" borderId="0" xfId="0" applyFont="1" applyFill="1"/>
    <xf numFmtId="0" fontId="6" fillId="0" borderId="0" xfId="0" quotePrefix="1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5" fillId="0" borderId="0" xfId="0" applyNumberFormat="1" applyFont="1" applyFill="1" applyAlignment="1"/>
    <xf numFmtId="3" fontId="5" fillId="0" borderId="0" xfId="78" applyNumberFormat="1" applyFont="1" applyAlignment="1">
      <alignment horizontal="right"/>
    </xf>
    <xf numFmtId="0" fontId="10" fillId="26" borderId="27" xfId="54" applyFill="1" applyBorder="1" applyAlignment="1" applyProtection="1">
      <alignment horizontal="right"/>
    </xf>
    <xf numFmtId="3" fontId="6" fillId="0" borderId="0" xfId="79" applyNumberFormat="1" applyFont="1" applyFill="1" applyBorder="1"/>
    <xf numFmtId="177" fontId="5" fillId="0" borderId="0" xfId="74" applyNumberFormat="1" applyFont="1" applyFill="1" applyBorder="1"/>
    <xf numFmtId="3" fontId="5" fillId="0" borderId="28" xfId="74" applyNumberFormat="1" applyFont="1" applyFill="1" applyBorder="1" applyAlignment="1" applyProtection="1">
      <alignment horizontal="center" vertical="center" wrapText="1"/>
    </xf>
    <xf numFmtId="2" fontId="5" fillId="0" borderId="0" xfId="79" applyNumberFormat="1" applyFont="1" applyAlignment="1"/>
    <xf numFmtId="2" fontId="6" fillId="0" borderId="0" xfId="79" applyNumberFormat="1" applyFont="1" applyAlignment="1"/>
    <xf numFmtId="3" fontId="5" fillId="0" borderId="29" xfId="74" applyNumberFormat="1" applyFont="1" applyFill="1" applyBorder="1"/>
    <xf numFmtId="3" fontId="6" fillId="0" borderId="29" xfId="74" applyNumberFormat="1" applyFont="1" applyFill="1" applyBorder="1"/>
    <xf numFmtId="167" fontId="2" fillId="0" borderId="0" xfId="0" applyNumberFormat="1" applyFont="1" applyFill="1"/>
    <xf numFmtId="0" fontId="25" fillId="0" borderId="0" xfId="68" applyFont="1" applyFill="1" applyBorder="1" applyAlignment="1"/>
    <xf numFmtId="3" fontId="7" fillId="0" borderId="0" xfId="68" applyNumberFormat="1" applyFont="1" applyFill="1" applyBorder="1" applyAlignment="1"/>
    <xf numFmtId="0" fontId="7" fillId="0" borderId="0" xfId="68" applyFont="1" applyFill="1" applyBorder="1" applyAlignment="1"/>
    <xf numFmtId="0" fontId="6" fillId="0" borderId="0" xfId="68" applyNumberFormat="1" applyFont="1" applyFill="1" applyBorder="1" applyAlignment="1"/>
    <xf numFmtId="3" fontId="6" fillId="0" borderId="0" xfId="68" applyNumberFormat="1" applyFont="1" applyFill="1" applyBorder="1" applyAlignment="1"/>
    <xf numFmtId="0" fontId="5" fillId="0" borderId="0" xfId="68" applyNumberFormat="1" applyFont="1" applyFill="1" applyBorder="1" applyAlignment="1"/>
    <xf numFmtId="0" fontId="6" fillId="0" borderId="0" xfId="68" quotePrefix="1" applyNumberFormat="1" applyFont="1" applyFill="1" applyBorder="1" applyAlignment="1"/>
    <xf numFmtId="172" fontId="6" fillId="0" borderId="0" xfId="79" applyNumberFormat="1" applyFont="1" applyFill="1" applyBorder="1"/>
    <xf numFmtId="165" fontId="6" fillId="0" borderId="20" xfId="79" applyNumberFormat="1" applyFont="1" applyFill="1" applyBorder="1" applyAlignment="1">
      <alignment horizontal="left"/>
    </xf>
    <xf numFmtId="169" fontId="5" fillId="0" borderId="0" xfId="74" applyNumberFormat="1" applyFont="1" applyFill="1"/>
    <xf numFmtId="169" fontId="6" fillId="0" borderId="0" xfId="75" applyNumberFormat="1" applyFont="1" applyFill="1"/>
    <xf numFmtId="169" fontId="6" fillId="0" borderId="0" xfId="74" applyNumberFormat="1" applyFont="1" applyFill="1"/>
    <xf numFmtId="0" fontId="5" fillId="0" borderId="0" xfId="0" applyFont="1" applyFill="1" applyBorder="1" applyAlignment="1">
      <alignment vertical="center" wrapText="1"/>
    </xf>
    <xf numFmtId="3" fontId="6" fillId="0" borderId="0" xfId="74" applyNumberFormat="1" applyFont="1" applyFill="1" applyBorder="1"/>
    <xf numFmtId="169" fontId="5" fillId="0" borderId="0" xfId="74" applyNumberFormat="1" applyFont="1" applyFill="1" applyBorder="1"/>
    <xf numFmtId="169" fontId="6" fillId="0" borderId="0" xfId="75" applyNumberFormat="1" applyFont="1" applyFill="1" applyBorder="1"/>
    <xf numFmtId="169" fontId="6" fillId="0" borderId="0" xfId="74" applyNumberFormat="1" applyFont="1" applyFill="1" applyBorder="1"/>
    <xf numFmtId="165" fontId="5" fillId="0" borderId="0" xfId="67" applyNumberFormat="1" applyFont="1" applyFill="1"/>
    <xf numFmtId="165" fontId="6" fillId="0" borderId="0" xfId="67" applyNumberFormat="1" applyFont="1" applyFill="1"/>
    <xf numFmtId="3" fontId="6" fillId="0" borderId="26" xfId="68" applyNumberFormat="1" applyFont="1" applyFill="1" applyBorder="1" applyAlignment="1"/>
    <xf numFmtId="1" fontId="5" fillId="0" borderId="12" xfId="68" applyNumberFormat="1" applyFont="1" applyFill="1" applyBorder="1" applyAlignment="1">
      <alignment horizontal="center" vertical="center"/>
    </xf>
    <xf numFmtId="1" fontId="5" fillId="0" borderId="30" xfId="68" applyNumberFormat="1" applyFont="1" applyFill="1" applyBorder="1" applyAlignment="1">
      <alignment horizontal="center" vertical="center"/>
    </xf>
    <xf numFmtId="3" fontId="5" fillId="0" borderId="0" xfId="68" applyNumberFormat="1" applyFont="1" applyFill="1" applyBorder="1" applyAlignment="1">
      <alignment horizontal="right" indent="2"/>
    </xf>
    <xf numFmtId="3" fontId="6" fillId="0" borderId="0" xfId="68" applyNumberFormat="1" applyFont="1" applyFill="1" applyBorder="1" applyAlignment="1">
      <alignment horizontal="right" indent="2"/>
    </xf>
    <xf numFmtId="0" fontId="5" fillId="0" borderId="31" xfId="74" applyNumberFormat="1" applyFont="1" applyFill="1" applyBorder="1" applyAlignment="1" applyProtection="1">
      <alignment horizontal="centerContinuous" vertical="center"/>
    </xf>
    <xf numFmtId="0" fontId="5" fillId="0" borderId="32" xfId="74" applyNumberFormat="1" applyFont="1" applyFill="1" applyBorder="1" applyAlignment="1" applyProtection="1">
      <alignment horizontal="center" vertical="center" wrapText="1"/>
    </xf>
    <xf numFmtId="3" fontId="2" fillId="0" borderId="33" xfId="78" applyNumberFormat="1" applyFont="1" applyFill="1" applyBorder="1"/>
    <xf numFmtId="3" fontId="5" fillId="0" borderId="33" xfId="78" applyNumberFormat="1" applyFont="1" applyBorder="1" applyAlignment="1">
      <alignment horizontal="right"/>
    </xf>
    <xf numFmtId="3" fontId="6" fillId="0" borderId="33" xfId="78" applyNumberFormat="1" applyFont="1" applyFill="1" applyBorder="1" applyAlignment="1">
      <alignment horizontal="right"/>
    </xf>
    <xf numFmtId="165" fontId="2" fillId="0" borderId="33" xfId="78" applyNumberFormat="1" applyFont="1" applyFill="1" applyBorder="1"/>
    <xf numFmtId="0" fontId="5" fillId="0" borderId="34" xfId="74" applyNumberFormat="1" applyFont="1" applyFill="1" applyBorder="1" applyAlignment="1" applyProtection="1">
      <alignment horizontal="centerContinuous" vertical="center"/>
    </xf>
    <xf numFmtId="0" fontId="5" fillId="0" borderId="35" xfId="74" applyNumberFormat="1" applyFont="1" applyFill="1" applyBorder="1" applyAlignment="1" applyProtection="1">
      <alignment horizontal="center" vertical="center" wrapText="1"/>
    </xf>
    <xf numFmtId="165" fontId="2" fillId="0" borderId="29" xfId="78" applyNumberFormat="1" applyFont="1" applyFill="1" applyBorder="1"/>
    <xf numFmtId="2" fontId="5" fillId="0" borderId="29" xfId="79" applyNumberFormat="1" applyFont="1" applyBorder="1" applyAlignment="1"/>
    <xf numFmtId="2" fontId="6" fillId="0" borderId="29" xfId="79" applyNumberFormat="1" applyFont="1" applyBorder="1" applyAlignment="1"/>
    <xf numFmtId="3" fontId="5" fillId="0" borderId="32" xfId="74" applyNumberFormat="1" applyFont="1" applyFill="1" applyBorder="1" applyAlignment="1" applyProtection="1">
      <alignment horizontal="center" vertical="center" wrapText="1"/>
    </xf>
    <xf numFmtId="0" fontId="2" fillId="0" borderId="33" xfId="73" applyFont="1" applyFill="1" applyBorder="1"/>
    <xf numFmtId="3" fontId="5" fillId="0" borderId="29" xfId="68" applyNumberFormat="1" applyFont="1" applyFill="1" applyBorder="1" applyAlignment="1">
      <alignment horizontal="right" indent="2"/>
    </xf>
    <xf numFmtId="3" fontId="6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0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5" fillId="0" borderId="5" xfId="67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6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5" fillId="0" borderId="0" xfId="0" applyNumberFormat="1" applyFont="1" applyFill="1" applyBorder="1" applyAlignment="1"/>
    <xf numFmtId="165" fontId="5" fillId="0" borderId="33" xfId="0" applyNumberFormat="1" applyFont="1" applyFill="1" applyBorder="1" applyAlignment="1"/>
    <xf numFmtId="165" fontId="5" fillId="0" borderId="0" xfId="0" applyNumberFormat="1" applyFont="1" applyFill="1" applyBorder="1" applyAlignment="1"/>
    <xf numFmtId="165" fontId="5" fillId="0" borderId="36" xfId="0" applyNumberFormat="1" applyFont="1" applyFill="1" applyBorder="1" applyAlignment="1"/>
    <xf numFmtId="3" fontId="5" fillId="0" borderId="38" xfId="0" applyNumberFormat="1" applyFont="1" applyFill="1" applyBorder="1" applyAlignment="1"/>
    <xf numFmtId="165" fontId="6" fillId="0" borderId="0" xfId="0" applyNumberFormat="1" applyFont="1" applyFill="1" applyBorder="1" applyAlignment="1">
      <alignment horizontal="right"/>
    </xf>
    <xf numFmtId="3" fontId="5" fillId="0" borderId="39" xfId="0" applyNumberFormat="1" applyFont="1" applyFill="1" applyBorder="1" applyAlignment="1"/>
    <xf numFmtId="165" fontId="6" fillId="0" borderId="0" xfId="0" applyNumberFormat="1" applyFont="1" applyFill="1" applyBorder="1" applyAlignment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3" fontId="6" fillId="0" borderId="39" xfId="0" applyNumberFormat="1" applyFont="1" applyFill="1" applyBorder="1" applyAlignment="1"/>
    <xf numFmtId="3" fontId="23" fillId="0" borderId="0" xfId="0" applyNumberFormat="1" applyFont="1" applyFill="1"/>
    <xf numFmtId="165" fontId="5" fillId="0" borderId="0" xfId="0" applyNumberFormat="1" applyFont="1" applyFill="1" applyAlignment="1"/>
    <xf numFmtId="3" fontId="6" fillId="0" borderId="40" xfId="0" applyNumberFormat="1" applyFont="1" applyFill="1" applyBorder="1" applyAlignment="1"/>
    <xf numFmtId="165" fontId="6" fillId="0" borderId="0" xfId="0" applyNumberFormat="1" applyFont="1" applyFill="1" applyAlignment="1">
      <alignment horizontal="right"/>
    </xf>
    <xf numFmtId="4" fontId="6" fillId="0" borderId="0" xfId="79" applyNumberFormat="1" applyFont="1" applyFill="1" applyBorder="1"/>
    <xf numFmtId="1" fontId="5" fillId="0" borderId="0" xfId="79" applyNumberFormat="1" applyFont="1" applyFill="1" applyBorder="1" applyAlignment="1">
      <alignment horizontal="left"/>
    </xf>
    <xf numFmtId="0" fontId="5" fillId="0" borderId="0" xfId="79" applyNumberFormat="1" applyFont="1" applyFill="1" applyBorder="1" applyAlignment="1">
      <alignment horizontal="left"/>
    </xf>
    <xf numFmtId="0" fontId="26" fillId="0" borderId="23" xfId="77" applyNumberFormat="1" applyFont="1" applyFill="1" applyBorder="1" applyAlignment="1">
      <alignment horizontal="center"/>
    </xf>
    <xf numFmtId="0" fontId="26" fillId="0" borderId="12" xfId="77" applyNumberFormat="1" applyFont="1" applyFill="1" applyBorder="1" applyAlignment="1">
      <alignment horizontal="center"/>
    </xf>
    <xf numFmtId="0" fontId="25" fillId="0" borderId="0" xfId="103" applyFont="1"/>
    <xf numFmtId="0" fontId="7" fillId="0" borderId="0" xfId="104" applyFont="1"/>
    <xf numFmtId="0" fontId="7" fillId="0" borderId="20" xfId="104" applyFont="1" applyBorder="1"/>
    <xf numFmtId="0" fontId="7" fillId="0" borderId="0" xfId="104" applyFont="1" applyAlignment="1">
      <alignment wrapText="1"/>
    </xf>
    <xf numFmtId="0" fontId="5" fillId="0" borderId="12" xfId="104" applyFont="1" applyBorder="1" applyAlignment="1">
      <alignment horizontal="center" vertical="center" wrapText="1"/>
    </xf>
    <xf numFmtId="0" fontId="5" fillId="0" borderId="0" xfId="104" applyFont="1"/>
    <xf numFmtId="3" fontId="5" fillId="0" borderId="0" xfId="104" applyNumberFormat="1" applyFont="1" applyBorder="1" applyAlignment="1">
      <alignment horizontal="right" indent="1"/>
    </xf>
    <xf numFmtId="165" fontId="5" fillId="0" borderId="29" xfId="104" applyNumberFormat="1" applyFont="1" applyBorder="1" applyAlignment="1">
      <alignment horizontal="right" indent="1"/>
    </xf>
    <xf numFmtId="165" fontId="5" fillId="0" borderId="40" xfId="104" applyNumberFormat="1" applyFont="1" applyBorder="1" applyAlignment="1">
      <alignment horizontal="right" indent="1"/>
    </xf>
    <xf numFmtId="165" fontId="5" fillId="0" borderId="0" xfId="104" applyNumberFormat="1" applyFont="1" applyAlignment="1">
      <alignment horizontal="right" indent="1"/>
    </xf>
    <xf numFmtId="165" fontId="5" fillId="0" borderId="53" xfId="104" applyNumberFormat="1" applyFont="1" applyBorder="1" applyAlignment="1">
      <alignment horizontal="right" indent="1"/>
    </xf>
    <xf numFmtId="0" fontId="6" fillId="0" borderId="0" xfId="104" applyFont="1"/>
    <xf numFmtId="0" fontId="6" fillId="0" borderId="0" xfId="104" quotePrefix="1" applyFont="1" applyAlignment="1">
      <alignment horizontal="left"/>
    </xf>
    <xf numFmtId="3" fontId="6" fillId="0" borderId="0" xfId="104" applyNumberFormat="1" applyFont="1" applyBorder="1" applyAlignment="1">
      <alignment horizontal="right" indent="1"/>
    </xf>
    <xf numFmtId="165" fontId="6" fillId="0" borderId="29" xfId="104" applyNumberFormat="1" applyFont="1" applyBorder="1" applyAlignment="1">
      <alignment horizontal="right" indent="1"/>
    </xf>
    <xf numFmtId="165" fontId="6" fillId="0" borderId="40" xfId="104" applyNumberFormat="1" applyFont="1" applyBorder="1" applyAlignment="1">
      <alignment horizontal="right" indent="1"/>
    </xf>
    <xf numFmtId="165" fontId="6" fillId="0" borderId="0" xfId="104" applyNumberFormat="1" applyFont="1" applyAlignment="1">
      <alignment horizontal="right" indent="1"/>
    </xf>
    <xf numFmtId="165" fontId="6" fillId="0" borderId="53" xfId="104" applyNumberFormat="1" applyFont="1" applyBorder="1" applyAlignment="1">
      <alignment horizontal="right" indent="1"/>
    </xf>
    <xf numFmtId="0" fontId="6" fillId="0" borderId="0" xfId="104" applyFont="1" applyAlignment="1">
      <alignment horizontal="left"/>
    </xf>
    <xf numFmtId="0" fontId="7" fillId="0" borderId="0" xfId="104" applyFont="1" applyBorder="1"/>
    <xf numFmtId="0" fontId="25" fillId="0" borderId="20" xfId="103" applyFont="1" applyBorder="1"/>
    <xf numFmtId="165" fontId="5" fillId="0" borderId="59" xfId="104" applyNumberFormat="1" applyFont="1" applyBorder="1" applyAlignment="1">
      <alignment horizontal="right" indent="1"/>
    </xf>
    <xf numFmtId="165" fontId="6" fillId="0" borderId="39" xfId="104" applyNumberFormat="1" applyFont="1" applyBorder="1" applyAlignment="1">
      <alignment horizontal="right" indent="1"/>
    </xf>
    <xf numFmtId="0" fontId="6" fillId="0" borderId="34" xfId="73" applyNumberFormat="1" applyFont="1" applyFill="1" applyBorder="1" applyAlignment="1">
      <alignment horizontal="centerContinuous" vertical="center"/>
    </xf>
    <xf numFmtId="3" fontId="5" fillId="0" borderId="29" xfId="78" applyNumberFormat="1" applyFont="1" applyBorder="1" applyAlignment="1">
      <alignment horizontal="right"/>
    </xf>
    <xf numFmtId="3" fontId="6" fillId="0" borderId="0" xfId="104" applyNumberFormat="1" applyFont="1"/>
    <xf numFmtId="165" fontId="6" fillId="0" borderId="0" xfId="104" applyNumberFormat="1" applyFont="1"/>
    <xf numFmtId="0" fontId="26" fillId="0" borderId="23" xfId="77" applyNumberFormat="1" applyFont="1" applyFill="1" applyBorder="1" applyAlignment="1">
      <alignment horizontal="center"/>
    </xf>
    <xf numFmtId="0" fontId="26" fillId="0" borderId="21" xfId="77" applyNumberFormat="1" applyFont="1" applyFill="1" applyBorder="1" applyAlignment="1">
      <alignment horizontal="center"/>
    </xf>
    <xf numFmtId="0" fontId="26" fillId="0" borderId="12" xfId="77" applyNumberFormat="1" applyFont="1" applyFill="1" applyBorder="1" applyAlignment="1">
      <alignment horizontal="center"/>
    </xf>
    <xf numFmtId="0" fontId="5" fillId="0" borderId="23" xfId="74" applyNumberFormat="1" applyFont="1" applyFill="1" applyBorder="1" applyAlignment="1" applyProtection="1">
      <alignment horizontal="center" vertical="center" wrapText="1"/>
    </xf>
    <xf numFmtId="3" fontId="4" fillId="0" borderId="49" xfId="0" applyNumberFormat="1" applyFont="1" applyFill="1" applyBorder="1" applyAlignment="1">
      <alignment horizontal="center"/>
    </xf>
    <xf numFmtId="3" fontId="4" fillId="0" borderId="50" xfId="0" applyNumberFormat="1" applyFont="1" applyFill="1" applyBorder="1" applyAlignment="1">
      <alignment horizontal="center"/>
    </xf>
    <xf numFmtId="3" fontId="4" fillId="0" borderId="26" xfId="0" applyNumberFormat="1" applyFont="1" applyFill="1" applyBorder="1" applyAlignment="1">
      <alignment horizontal="center"/>
    </xf>
    <xf numFmtId="3" fontId="4" fillId="0" borderId="51" xfId="0" applyNumberFormat="1" applyFont="1" applyFill="1" applyBorder="1" applyAlignment="1">
      <alignment horizontal="center"/>
    </xf>
    <xf numFmtId="3" fontId="4" fillId="0" borderId="52" xfId="0" applyNumberFormat="1" applyFont="1" applyFill="1" applyBorder="1" applyAlignment="1">
      <alignment horizontal="center"/>
    </xf>
    <xf numFmtId="0" fontId="5" fillId="0" borderId="13" xfId="67" applyFont="1" applyFill="1" applyBorder="1" applyAlignment="1">
      <alignment horizontal="center" vertical="center" wrapText="1"/>
    </xf>
    <xf numFmtId="0" fontId="5" fillId="0" borderId="5" xfId="67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67" applyFont="1" applyFill="1" applyBorder="1" applyAlignment="1">
      <alignment horizontal="center" vertical="center"/>
    </xf>
    <xf numFmtId="0" fontId="5" fillId="0" borderId="45" xfId="67" applyFont="1" applyFill="1" applyBorder="1" applyAlignment="1">
      <alignment horizontal="center" vertical="center" wrapText="1"/>
    </xf>
    <xf numFmtId="0" fontId="5" fillId="0" borderId="37" xfId="67" applyFont="1" applyFill="1" applyBorder="1" applyAlignment="1">
      <alignment horizontal="center" vertical="center" wrapText="1"/>
    </xf>
    <xf numFmtId="0" fontId="5" fillId="0" borderId="46" xfId="67" applyFont="1" applyFill="1" applyBorder="1" applyAlignment="1">
      <alignment horizontal="center" vertical="center" wrapText="1"/>
    </xf>
    <xf numFmtId="0" fontId="5" fillId="0" borderId="30" xfId="67" applyFont="1" applyFill="1" applyBorder="1" applyAlignment="1">
      <alignment horizontal="center" vertical="center" wrapText="1"/>
    </xf>
    <xf numFmtId="0" fontId="5" fillId="0" borderId="17" xfId="67" applyFont="1" applyFill="1" applyBorder="1" applyAlignment="1">
      <alignment horizontal="center" vertical="center" wrapText="1"/>
    </xf>
    <xf numFmtId="0" fontId="5" fillId="0" borderId="13" xfId="67" applyFont="1" applyFill="1" applyBorder="1" applyAlignment="1">
      <alignment horizontal="center" vertical="center"/>
    </xf>
    <xf numFmtId="0" fontId="5" fillId="0" borderId="41" xfId="67" applyFont="1" applyFill="1" applyBorder="1" applyAlignment="1">
      <alignment horizontal="center" vertical="center"/>
    </xf>
    <xf numFmtId="0" fontId="5" fillId="0" borderId="47" xfId="67" applyFont="1" applyFill="1" applyBorder="1" applyAlignment="1">
      <alignment horizontal="center" vertical="center" wrapText="1"/>
    </xf>
    <xf numFmtId="0" fontId="5" fillId="0" borderId="36" xfId="67" applyFont="1" applyFill="1" applyBorder="1" applyAlignment="1">
      <alignment horizontal="center" vertical="center" wrapText="1"/>
    </xf>
    <xf numFmtId="0" fontId="5" fillId="0" borderId="48" xfId="67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22" fillId="0" borderId="23" xfId="68" applyFont="1" applyBorder="1" applyAlignment="1">
      <alignment horizontal="center" vertical="center" wrapText="1"/>
    </xf>
    <xf numFmtId="0" fontId="22" fillId="0" borderId="12" xfId="68" applyFont="1" applyBorder="1" applyAlignment="1">
      <alignment horizontal="center" vertical="center" wrapText="1"/>
    </xf>
    <xf numFmtId="3" fontId="5" fillId="0" borderId="23" xfId="68" applyNumberFormat="1" applyFont="1" applyBorder="1" applyAlignment="1">
      <alignment horizontal="center" vertical="center" wrapText="1"/>
    </xf>
    <xf numFmtId="3" fontId="5" fillId="0" borderId="34" xfId="68" applyNumberFormat="1" applyFont="1" applyBorder="1" applyAlignment="1">
      <alignment horizontal="center" vertical="center" wrapText="1"/>
    </xf>
    <xf numFmtId="0" fontId="7" fillId="0" borderId="23" xfId="104" applyFont="1" applyBorder="1" applyAlignment="1">
      <alignment horizontal="center"/>
    </xf>
    <xf numFmtId="0" fontId="7" fillId="0" borderId="0" xfId="104" applyFont="1" applyBorder="1" applyAlignment="1">
      <alignment horizontal="center"/>
    </xf>
    <xf numFmtId="0" fontId="7" fillId="0" borderId="12" xfId="104" applyFont="1" applyBorder="1" applyAlignment="1">
      <alignment horizontal="center"/>
    </xf>
    <xf numFmtId="0" fontId="5" fillId="0" borderId="23" xfId="104" applyFont="1" applyBorder="1" applyAlignment="1">
      <alignment horizontal="center" vertical="center" wrapText="1"/>
    </xf>
    <xf numFmtId="0" fontId="5" fillId="0" borderId="0" xfId="104" applyFont="1" applyBorder="1" applyAlignment="1">
      <alignment horizontal="center" vertical="center" wrapText="1"/>
    </xf>
    <xf numFmtId="0" fontId="5" fillId="0" borderId="12" xfId="104" applyFont="1" applyBorder="1" applyAlignment="1">
      <alignment horizontal="center" vertical="center" wrapText="1"/>
    </xf>
    <xf numFmtId="0" fontId="4" fillId="0" borderId="34" xfId="104" applyFont="1" applyBorder="1" applyAlignment="1">
      <alignment horizontal="center" vertical="center" wrapText="1"/>
    </xf>
    <xf numFmtId="0" fontId="4" fillId="0" borderId="29" xfId="104" applyFont="1" applyBorder="1" applyAlignment="1">
      <alignment horizontal="center" vertical="center" wrapText="1"/>
    </xf>
    <xf numFmtId="0" fontId="4" fillId="0" borderId="30" xfId="104" applyFont="1" applyBorder="1" applyAlignment="1">
      <alignment horizontal="center" vertical="center" wrapText="1"/>
    </xf>
    <xf numFmtId="0" fontId="5" fillId="0" borderId="23" xfId="104" applyFont="1" applyBorder="1" applyAlignment="1">
      <alignment horizontal="center" vertical="center"/>
    </xf>
    <xf numFmtId="0" fontId="5" fillId="0" borderId="40" xfId="104" applyFont="1" applyBorder="1" applyAlignment="1">
      <alignment horizontal="center" vertical="center" wrapText="1"/>
    </xf>
    <xf numFmtId="0" fontId="5" fillId="0" borderId="54" xfId="104" applyFont="1" applyBorder="1" applyAlignment="1">
      <alignment horizontal="center" vertical="center" wrapText="1"/>
    </xf>
    <xf numFmtId="0" fontId="5" fillId="0" borderId="53" xfId="104" applyFont="1" applyBorder="1" applyAlignment="1">
      <alignment horizontal="center" vertical="center"/>
    </xf>
    <xf numFmtId="0" fontId="5" fillId="0" borderId="0" xfId="104" applyFont="1" applyBorder="1" applyAlignment="1">
      <alignment horizontal="center" vertical="center"/>
    </xf>
    <xf numFmtId="0" fontId="5" fillId="0" borderId="39" xfId="104" applyFont="1" applyBorder="1" applyAlignment="1">
      <alignment horizontal="center" vertical="center"/>
    </xf>
    <xf numFmtId="0" fontId="5" fillId="0" borderId="53" xfId="104" applyFont="1" applyBorder="1" applyAlignment="1">
      <alignment horizontal="center" vertical="center" wrapText="1"/>
    </xf>
    <xf numFmtId="0" fontId="5" fillId="0" borderId="55" xfId="104" applyFont="1" applyBorder="1" applyAlignment="1">
      <alignment horizontal="center" vertical="center" wrapText="1"/>
    </xf>
    <xf numFmtId="0" fontId="17" fillId="0" borderId="0" xfId="67" applyFont="1" applyAlignment="1">
      <alignment horizontal="left"/>
    </xf>
    <xf numFmtId="0" fontId="7" fillId="0" borderId="0" xfId="67"/>
    <xf numFmtId="0" fontId="6" fillId="0" borderId="23" xfId="104" applyFont="1" applyBorder="1" applyAlignment="1">
      <alignment horizontal="center"/>
    </xf>
    <xf numFmtId="0" fontId="6" fillId="0" borderId="12" xfId="104" applyFont="1" applyBorder="1" applyAlignment="1">
      <alignment horizontal="center"/>
    </xf>
    <xf numFmtId="0" fontId="7" fillId="0" borderId="12" xfId="104" applyBorder="1" applyAlignment="1">
      <alignment horizontal="center" vertical="center" wrapText="1"/>
    </xf>
    <xf numFmtId="0" fontId="5" fillId="0" borderId="39" xfId="104" applyFont="1" applyBorder="1" applyAlignment="1">
      <alignment horizontal="center" vertical="center" wrapText="1"/>
    </xf>
    <xf numFmtId="0" fontId="7" fillId="0" borderId="58" xfId="104" applyBorder="1" applyAlignment="1">
      <alignment horizontal="center" vertical="center" wrapText="1"/>
    </xf>
    <xf numFmtId="0" fontId="5" fillId="0" borderId="56" xfId="104" applyFont="1" applyBorder="1" applyAlignment="1">
      <alignment horizontal="center" vertical="center"/>
    </xf>
    <xf numFmtId="0" fontId="5" fillId="0" borderId="57" xfId="104" applyFont="1" applyBorder="1" applyAlignment="1">
      <alignment horizontal="center" vertical="center"/>
    </xf>
    <xf numFmtId="0" fontId="6" fillId="0" borderId="0" xfId="104" applyFont="1" applyBorder="1" applyAlignment="1">
      <alignment horizontal="center"/>
    </xf>
  </cellXfs>
  <cellStyles count="105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29"/>
    <cellStyle name="Code additions" xfId="30"/>
    <cellStyle name="Col&amp;RowHeadings" xfId="31"/>
    <cellStyle name="ColCodes" xfId="32"/>
    <cellStyle name="ColTitles" xfId="33"/>
    <cellStyle name="column" xfId="34"/>
    <cellStyle name="Comma [0]_9ENRL" xfId="35"/>
    <cellStyle name="Comma 2" xfId="36"/>
    <cellStyle name="Comma_9ENRL" xfId="37"/>
    <cellStyle name="Currency [0]_9ENRL" xfId="38"/>
    <cellStyle name="Currency_9ENRL" xfId="3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3" xfId="69"/>
    <cellStyle name="Normal 4" xfId="70"/>
    <cellStyle name="Normal 5" xfId="71"/>
    <cellStyle name="Normal 6" xfId="72"/>
    <cellStyle name="Normal_25-Gasto" xfId="73"/>
    <cellStyle name="Normal_AE92" xfId="74"/>
    <cellStyle name="Normal_AE96LQV1" xfId="75"/>
    <cellStyle name="Normal_C-E-Rc-Rs" xfId="76"/>
    <cellStyle name="Normal_C-E-Rc-Rs 2" xfId="103"/>
    <cellStyle name="Normal_CL95LQV2" xfId="77"/>
    <cellStyle name="Normal_CUADROS" xfId="78"/>
    <cellStyle name="Normal_CUADROS 2" xfId="79"/>
    <cellStyle name="Normal_GastoPrivado" xfId="104"/>
    <cellStyle name="Normal_librojesus" xfId="80"/>
    <cellStyle name="Note" xfId="81"/>
    <cellStyle name="Output" xfId="82"/>
    <cellStyle name="Percent 2" xfId="83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/UOE/IND98/FIN95/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O40"/>
  <sheetViews>
    <sheetView tabSelected="1" showWhiteSpace="0" zoomScaleNormal="100" workbookViewId="0"/>
  </sheetViews>
  <sheetFormatPr baseColWidth="10" defaultColWidth="11.42578125" defaultRowHeight="12.75"/>
  <cols>
    <col min="1" max="1" width="4" style="61" customWidth="1"/>
    <col min="2" max="2" width="8" style="61" customWidth="1"/>
    <col min="3" max="10" width="13.5703125" style="61" customWidth="1"/>
    <col min="11" max="11" width="15" style="61" customWidth="1"/>
    <col min="12" max="16384" width="11.42578125" style="61"/>
  </cols>
  <sheetData>
    <row r="1" spans="1:67" s="72" customFormat="1" ht="13.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</row>
    <row r="2" spans="1:67" s="72" customFormat="1" ht="21.75" customHeight="1">
      <c r="A2" s="60"/>
      <c r="B2" s="62" t="s">
        <v>129</v>
      </c>
      <c r="C2" s="63"/>
      <c r="D2" s="63"/>
      <c r="E2" s="63"/>
      <c r="F2" s="63"/>
      <c r="G2" s="63"/>
      <c r="H2" s="63"/>
      <c r="I2" s="63"/>
      <c r="J2" s="63"/>
      <c r="K2" s="63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</row>
    <row r="3" spans="1:67" s="72" customFormat="1" ht="15">
      <c r="A3" s="60"/>
      <c r="B3" s="64" t="s">
        <v>74</v>
      </c>
      <c r="C3" s="63"/>
      <c r="D3" s="63"/>
      <c r="E3" s="63"/>
      <c r="F3" s="63"/>
      <c r="G3" s="63"/>
      <c r="H3" s="63"/>
      <c r="I3" s="63"/>
      <c r="J3" s="63"/>
      <c r="K3" s="63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</row>
    <row r="4" spans="1:67" s="72" customFormat="1" ht="16.5" thickBot="1">
      <c r="A4" s="60"/>
      <c r="B4" s="65" t="s">
        <v>130</v>
      </c>
      <c r="C4" s="63"/>
      <c r="D4" s="63"/>
      <c r="E4" s="63"/>
      <c r="F4" s="63"/>
      <c r="G4" s="63"/>
      <c r="H4" s="63"/>
      <c r="I4" s="63"/>
      <c r="J4" s="63"/>
      <c r="K4" s="63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</row>
    <row r="5" spans="1:67" s="72" customFormat="1" ht="14.25" thickTop="1" thickBot="1">
      <c r="A5" s="60"/>
      <c r="B5" s="88" t="s">
        <v>75</v>
      </c>
      <c r="C5" s="66" t="s">
        <v>131</v>
      </c>
      <c r="D5" s="67"/>
      <c r="E5" s="67"/>
      <c r="F5" s="67"/>
      <c r="G5" s="67"/>
      <c r="H5" s="67"/>
      <c r="I5" s="67"/>
      <c r="J5" s="67"/>
      <c r="K5" s="67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</row>
    <row r="6" spans="1:67" s="72" customFormat="1" ht="14.25" thickTop="1" thickBot="1">
      <c r="A6" s="60"/>
      <c r="B6" s="88" t="s">
        <v>76</v>
      </c>
      <c r="C6" s="66" t="s">
        <v>132</v>
      </c>
      <c r="D6" s="67"/>
      <c r="E6" s="67"/>
      <c r="F6" s="67"/>
      <c r="G6" s="67"/>
      <c r="H6" s="67"/>
      <c r="I6" s="67"/>
      <c r="J6" s="67"/>
      <c r="K6" s="67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</row>
    <row r="7" spans="1:67" s="72" customFormat="1" ht="14.25" thickTop="1" thickBot="1">
      <c r="A7" s="60"/>
      <c r="B7" s="88" t="s">
        <v>77</v>
      </c>
      <c r="C7" s="66" t="s">
        <v>133</v>
      </c>
      <c r="D7" s="67"/>
      <c r="E7" s="67"/>
      <c r="F7" s="67"/>
      <c r="G7" s="67"/>
      <c r="H7" s="67"/>
      <c r="I7" s="67"/>
      <c r="J7" s="67"/>
      <c r="K7" s="67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</row>
    <row r="8" spans="1:67" s="72" customFormat="1" ht="14.25" thickTop="1" thickBot="1">
      <c r="A8" s="60"/>
      <c r="B8" s="88" t="s">
        <v>78</v>
      </c>
      <c r="C8" s="66" t="s">
        <v>96</v>
      </c>
      <c r="D8" s="67"/>
      <c r="E8" s="67"/>
      <c r="F8" s="67"/>
      <c r="G8" s="67"/>
      <c r="H8" s="67"/>
      <c r="I8" s="67"/>
      <c r="J8" s="67"/>
      <c r="K8" s="67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</row>
    <row r="9" spans="1:67" s="72" customFormat="1" ht="14.25" thickTop="1" thickBot="1">
      <c r="A9" s="60"/>
      <c r="B9" s="88" t="s">
        <v>79</v>
      </c>
      <c r="C9" s="66" t="s">
        <v>80</v>
      </c>
      <c r="D9" s="67"/>
      <c r="E9" s="67"/>
      <c r="F9" s="67"/>
      <c r="G9" s="67"/>
      <c r="H9" s="67"/>
      <c r="I9" s="67"/>
      <c r="J9" s="67"/>
      <c r="K9" s="67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</row>
    <row r="10" spans="1:67" s="72" customFormat="1" ht="14.25" thickTop="1" thickBot="1">
      <c r="A10" s="60"/>
      <c r="B10" s="88" t="s">
        <v>127</v>
      </c>
      <c r="C10" s="66" t="s">
        <v>128</v>
      </c>
      <c r="D10" s="67"/>
      <c r="E10" s="67"/>
      <c r="F10" s="67"/>
      <c r="G10" s="67"/>
      <c r="H10" s="67"/>
      <c r="I10" s="67"/>
      <c r="J10" s="67"/>
      <c r="K10" s="67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</row>
    <row r="11" spans="1:67" s="72" customFormat="1" ht="14.25" thickTop="1" thickBot="1">
      <c r="A11" s="60"/>
      <c r="B11" s="88" t="s">
        <v>81</v>
      </c>
      <c r="C11" s="66" t="s">
        <v>97</v>
      </c>
      <c r="D11" s="67"/>
      <c r="E11" s="67"/>
      <c r="F11" s="67"/>
      <c r="G11" s="67"/>
      <c r="H11" s="67"/>
      <c r="I11" s="67"/>
      <c r="J11" s="67"/>
      <c r="K11" s="67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</row>
    <row r="12" spans="1:67" s="72" customFormat="1" ht="14.25" thickTop="1" thickBot="1">
      <c r="A12" s="60"/>
      <c r="B12" s="88" t="s">
        <v>171</v>
      </c>
      <c r="C12" s="66" t="s">
        <v>172</v>
      </c>
      <c r="D12" s="67"/>
      <c r="E12" s="67"/>
      <c r="F12" s="67"/>
      <c r="G12" s="67"/>
      <c r="H12" s="67"/>
      <c r="I12" s="67"/>
      <c r="J12" s="67"/>
      <c r="K12" s="67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</row>
    <row r="13" spans="1:67" s="72" customFormat="1" ht="14.25" thickTop="1" thickBot="1">
      <c r="A13" s="60"/>
      <c r="B13" s="88" t="s">
        <v>173</v>
      </c>
      <c r="C13" s="66" t="s">
        <v>174</v>
      </c>
      <c r="D13" s="67"/>
      <c r="E13" s="67"/>
      <c r="F13" s="67"/>
      <c r="G13" s="67"/>
      <c r="H13" s="67"/>
      <c r="I13" s="67"/>
      <c r="J13" s="67"/>
      <c r="K13" s="67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</row>
    <row r="14" spans="1:67" s="72" customFormat="1" ht="14.25" thickTop="1" thickBot="1">
      <c r="A14" s="60"/>
      <c r="B14" s="88" t="s">
        <v>175</v>
      </c>
      <c r="C14" s="66" t="s">
        <v>176</v>
      </c>
      <c r="D14" s="67"/>
      <c r="E14" s="67"/>
      <c r="F14" s="67"/>
      <c r="G14" s="67"/>
      <c r="H14" s="67"/>
      <c r="I14" s="67"/>
      <c r="J14" s="67"/>
      <c r="K14" s="67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</row>
    <row r="15" spans="1:67" s="72" customFormat="1" ht="14.25" thickTop="1" thickBot="1">
      <c r="A15" s="60"/>
      <c r="B15" s="88" t="s">
        <v>178</v>
      </c>
      <c r="C15" s="66" t="s">
        <v>177</v>
      </c>
      <c r="D15" s="67"/>
      <c r="E15" s="67"/>
      <c r="F15" s="67"/>
      <c r="G15" s="67"/>
      <c r="H15" s="67"/>
      <c r="I15" s="67"/>
      <c r="J15" s="67"/>
      <c r="K15" s="67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</row>
    <row r="16" spans="1:67" s="72" customFormat="1" ht="13.5" thickTop="1">
      <c r="A16" s="60"/>
      <c r="B16" s="68" t="s">
        <v>82</v>
      </c>
      <c r="C16" s="63"/>
      <c r="D16" s="63"/>
      <c r="E16" s="63"/>
      <c r="F16" s="63"/>
      <c r="G16" s="63"/>
      <c r="H16" s="63"/>
      <c r="I16" s="63"/>
      <c r="J16" s="63"/>
      <c r="K16" s="63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</row>
    <row r="17" spans="1:67" s="72" customFormat="1">
      <c r="A17" s="60"/>
      <c r="B17" s="69" t="s">
        <v>179</v>
      </c>
      <c r="C17" s="63"/>
      <c r="D17" s="63"/>
      <c r="E17" s="63"/>
      <c r="F17" s="63"/>
      <c r="G17" s="63"/>
      <c r="H17" s="63"/>
      <c r="I17" s="63"/>
      <c r="J17" s="63"/>
      <c r="K17" s="63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</row>
    <row r="18" spans="1:67" s="72" customFormat="1">
      <c r="A18" s="60"/>
      <c r="B18" s="69" t="s">
        <v>180</v>
      </c>
      <c r="C18" s="63"/>
      <c r="D18" s="63"/>
      <c r="E18" s="63"/>
      <c r="F18" s="63"/>
      <c r="G18" s="63"/>
      <c r="H18" s="63"/>
      <c r="I18" s="63"/>
      <c r="J18" s="63"/>
      <c r="K18" s="63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</row>
    <row r="19" spans="1:67">
      <c r="A19" s="60"/>
      <c r="B19" s="69" t="s">
        <v>181</v>
      </c>
      <c r="C19" s="63"/>
      <c r="D19" s="63"/>
      <c r="E19" s="63"/>
      <c r="F19" s="63"/>
      <c r="G19" s="63"/>
      <c r="H19" s="63"/>
      <c r="I19" s="63"/>
      <c r="J19" s="63"/>
      <c r="K19" s="63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</row>
    <row r="20" spans="1:67" s="72" customForma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</row>
    <row r="21" spans="1:67" s="72" customFormat="1">
      <c r="A21" s="60"/>
      <c r="B21" s="68" t="s">
        <v>83</v>
      </c>
      <c r="C21" s="63"/>
      <c r="D21" s="63"/>
      <c r="E21" s="63"/>
      <c r="F21" s="63"/>
      <c r="G21" s="63"/>
      <c r="H21" s="63"/>
      <c r="I21" s="63"/>
      <c r="J21" s="63"/>
      <c r="K21" s="63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</row>
    <row r="22" spans="1:67" s="72" customForma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</row>
    <row r="23" spans="1:67" s="72" customForma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</row>
    <row r="24" spans="1:67" s="72" customForma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</row>
    <row r="25" spans="1:67" s="72" customForma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</row>
    <row r="26" spans="1:67" s="72" customForma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</row>
    <row r="27" spans="1:67" s="72" customForma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</row>
    <row r="28" spans="1:67" s="72" customForma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</row>
    <row r="29" spans="1:67" s="72" customForma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</row>
    <row r="30" spans="1:67" s="72" customForma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</row>
    <row r="31" spans="1:67" s="72" customForma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</row>
    <row r="32" spans="1:67" s="72" customForma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</row>
    <row r="33" spans="1:67" s="72" customForma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</row>
    <row r="34" spans="1:67" s="72" customForma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</row>
    <row r="35" spans="1:67" s="72" customForma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</row>
    <row r="36" spans="1:67" s="72" customForma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</row>
    <row r="37" spans="1:67" s="72" customForma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</row>
    <row r="38" spans="1:67" s="72" customForma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</row>
    <row r="39" spans="1:67" s="72" customForma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</row>
    <row r="40" spans="1:67" s="72" customForma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  <hyperlink ref="B12:B15" location="B3.1!A1" display="B3.1"/>
    <hyperlink ref="B12" location="B4.7!A1" display="B4.7"/>
    <hyperlink ref="B13" location="B4.8!A1" display="B4.8"/>
    <hyperlink ref="B14" location="B4.9!A1" display="B4.9"/>
    <hyperlink ref="B15" location="B4.10!A1" display="B4.10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12" sqref="P12"/>
    </sheetView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  <col min="19" max="19" width="7.7109375" bestFit="1" customWidth="1"/>
    <col min="21" max="21" width="9.42578125" customWidth="1"/>
  </cols>
  <sheetData>
    <row r="1" spans="1:21">
      <c r="A1" s="36" t="s">
        <v>134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33"/>
      <c r="S1" s="33"/>
    </row>
    <row r="2" spans="1:21" ht="10.15" customHeight="1" thickBot="1">
      <c r="A2" s="31"/>
      <c r="B2" s="34"/>
      <c r="C2" s="46"/>
      <c r="D2" s="34"/>
      <c r="E2" s="34"/>
      <c r="F2" s="34"/>
      <c r="G2" s="34"/>
      <c r="H2" s="34"/>
      <c r="I2" s="34"/>
      <c r="J2" s="41"/>
      <c r="K2" s="1"/>
      <c r="L2" s="34"/>
      <c r="M2" s="46"/>
      <c r="N2" s="33"/>
      <c r="O2" s="33"/>
      <c r="P2" s="33"/>
      <c r="Q2" s="33"/>
      <c r="R2" s="33"/>
      <c r="S2" s="33"/>
    </row>
    <row r="3" spans="1:21">
      <c r="A3" s="196"/>
      <c r="B3" s="44">
        <v>2006</v>
      </c>
      <c r="C3" s="127"/>
      <c r="D3" s="44">
        <v>2007</v>
      </c>
      <c r="E3" s="44"/>
      <c r="F3" s="121">
        <v>2008</v>
      </c>
      <c r="G3" s="127"/>
      <c r="H3" s="44">
        <v>2009</v>
      </c>
      <c r="I3" s="45"/>
      <c r="J3" s="121">
        <v>2010</v>
      </c>
      <c r="K3" s="127"/>
      <c r="L3" s="44">
        <v>2011</v>
      </c>
      <c r="M3" s="45"/>
      <c r="N3" s="121">
        <v>2012</v>
      </c>
      <c r="O3" s="127"/>
      <c r="P3" s="44">
        <v>2013</v>
      </c>
      <c r="Q3" s="45"/>
      <c r="R3" s="44">
        <v>2014</v>
      </c>
      <c r="S3" s="45"/>
      <c r="T3" s="121">
        <v>2015</v>
      </c>
      <c r="U3" s="45"/>
    </row>
    <row r="4" spans="1:21" ht="18">
      <c r="A4" s="197"/>
      <c r="B4" s="37" t="s">
        <v>54</v>
      </c>
      <c r="C4" s="37" t="s">
        <v>73</v>
      </c>
      <c r="D4" s="122" t="s">
        <v>54</v>
      </c>
      <c r="E4" s="128" t="s">
        <v>73</v>
      </c>
      <c r="F4" s="37" t="s">
        <v>54</v>
      </c>
      <c r="G4" s="37" t="s">
        <v>73</v>
      </c>
      <c r="H4" s="122" t="s">
        <v>54</v>
      </c>
      <c r="I4" s="128" t="s">
        <v>73</v>
      </c>
      <c r="J4" s="42" t="s">
        <v>54</v>
      </c>
      <c r="K4" s="37" t="s">
        <v>73</v>
      </c>
      <c r="L4" s="122" t="s">
        <v>54</v>
      </c>
      <c r="M4" s="128" t="s">
        <v>73</v>
      </c>
      <c r="N4" s="42" t="s">
        <v>54</v>
      </c>
      <c r="O4" s="37" t="s">
        <v>73</v>
      </c>
      <c r="P4" s="122" t="s">
        <v>54</v>
      </c>
      <c r="Q4" s="128" t="s">
        <v>73</v>
      </c>
      <c r="R4" s="42" t="s">
        <v>54</v>
      </c>
      <c r="S4" s="37" t="s">
        <v>73</v>
      </c>
      <c r="T4" s="132" t="s">
        <v>54</v>
      </c>
      <c r="U4" s="37" t="s">
        <v>73</v>
      </c>
    </row>
    <row r="5" spans="1:21">
      <c r="A5" s="47"/>
      <c r="B5" s="40"/>
      <c r="C5" s="1"/>
      <c r="D5" s="123"/>
      <c r="E5" s="129"/>
      <c r="F5" s="40"/>
      <c r="G5" s="1"/>
      <c r="H5" s="123"/>
      <c r="I5" s="129"/>
      <c r="J5" s="40"/>
      <c r="K5" s="1"/>
      <c r="L5" s="123"/>
      <c r="M5" s="129"/>
      <c r="N5" s="40"/>
      <c r="O5" s="33"/>
      <c r="P5" s="123"/>
      <c r="Q5" s="129"/>
      <c r="R5" s="40"/>
      <c r="S5" s="87"/>
      <c r="T5" s="123"/>
      <c r="U5" s="87"/>
    </row>
    <row r="6" spans="1:21">
      <c r="A6" s="3" t="s">
        <v>0</v>
      </c>
      <c r="B6" s="87">
        <v>43441330.700000003</v>
      </c>
      <c r="C6" s="92">
        <v>4.3099999999999996</v>
      </c>
      <c r="D6" s="124">
        <v>47266674</v>
      </c>
      <c r="E6" s="130">
        <v>4.37</v>
      </c>
      <c r="F6" s="87">
        <v>51716008.199999996</v>
      </c>
      <c r="G6" s="92">
        <v>4.63</v>
      </c>
      <c r="H6" s="124">
        <v>53895011.599999994</v>
      </c>
      <c r="I6" s="130">
        <v>4.99</v>
      </c>
      <c r="J6" s="87">
        <v>53099328.600000009</v>
      </c>
      <c r="K6" s="92">
        <v>4.91</v>
      </c>
      <c r="L6" s="124">
        <v>50631079.600000001</v>
      </c>
      <c r="M6" s="130">
        <v>4.7300000000000004</v>
      </c>
      <c r="N6" s="87">
        <v>46476414.299999997</v>
      </c>
      <c r="O6" s="92">
        <v>4.47</v>
      </c>
      <c r="P6" s="124">
        <v>44974573.600000001</v>
      </c>
      <c r="Q6" s="130">
        <v>4.3899999999999997</v>
      </c>
      <c r="R6" s="87">
        <v>44846761.600000001</v>
      </c>
      <c r="S6" s="92">
        <v>4.32</v>
      </c>
      <c r="T6" s="124">
        <v>46624351.200000003</v>
      </c>
      <c r="U6" s="92">
        <v>4.32</v>
      </c>
    </row>
    <row r="7" spans="1:21">
      <c r="A7" s="73" t="s">
        <v>1</v>
      </c>
      <c r="B7" s="38">
        <v>1787654.5999999999</v>
      </c>
      <c r="C7" s="93">
        <v>0.17735126104443169</v>
      </c>
      <c r="D7" s="125">
        <v>1999205.1</v>
      </c>
      <c r="E7" s="131">
        <v>0.18497336712289986</v>
      </c>
      <c r="F7" s="38">
        <v>2403620.7000000002</v>
      </c>
      <c r="G7" s="93">
        <v>0.21533825715122737</v>
      </c>
      <c r="H7" s="125">
        <v>2473718.6999999997</v>
      </c>
      <c r="I7" s="131">
        <v>0.22925308192327579</v>
      </c>
      <c r="J7" s="38">
        <v>2225936.1</v>
      </c>
      <c r="K7" s="93">
        <v>0.2059311063887658</v>
      </c>
      <c r="L7" s="125">
        <v>2211085</v>
      </c>
      <c r="M7" s="131">
        <v>0.20656372820584204</v>
      </c>
      <c r="N7" s="38">
        <v>1818343</v>
      </c>
      <c r="O7" s="93">
        <v>0.17488136662569559</v>
      </c>
      <c r="P7" s="125">
        <v>1803317.1</v>
      </c>
      <c r="Q7" s="131">
        <v>0.17582462164865831</v>
      </c>
      <c r="R7" s="38">
        <v>1783498.7</v>
      </c>
      <c r="S7" s="93">
        <v>0.17198222800800367</v>
      </c>
      <c r="T7" s="125">
        <v>1864189</v>
      </c>
      <c r="U7" s="93">
        <v>0.17261041224150414</v>
      </c>
    </row>
    <row r="8" spans="1:21">
      <c r="A8" s="5" t="s">
        <v>104</v>
      </c>
      <c r="B8" s="38">
        <v>1887436.2</v>
      </c>
      <c r="C8" s="93">
        <v>0.18725048463551638</v>
      </c>
      <c r="D8" s="125">
        <v>2185240</v>
      </c>
      <c r="E8" s="131">
        <v>0.20218595919530497</v>
      </c>
      <c r="F8" s="38">
        <v>2955678</v>
      </c>
      <c r="G8" s="93">
        <v>0.26479658342941764</v>
      </c>
      <c r="H8" s="125">
        <v>2980981.8</v>
      </c>
      <c r="I8" s="131">
        <v>0.27626393607615701</v>
      </c>
      <c r="J8" s="38">
        <v>2804277</v>
      </c>
      <c r="K8" s="93">
        <v>0.25943595830561755</v>
      </c>
      <c r="L8" s="125">
        <v>2360689</v>
      </c>
      <c r="M8" s="131">
        <v>0.22054001586303604</v>
      </c>
      <c r="N8" s="38">
        <v>1959647</v>
      </c>
      <c r="O8" s="93">
        <v>0.1884714520109487</v>
      </c>
      <c r="P8" s="125">
        <v>1772145.7</v>
      </c>
      <c r="Q8" s="131">
        <v>0.17278538932991691</v>
      </c>
      <c r="R8" s="38">
        <v>1946888.5</v>
      </c>
      <c r="S8" s="93">
        <v>0.18773785588582725</v>
      </c>
      <c r="T8" s="125">
        <v>2109349.4</v>
      </c>
      <c r="U8" s="93">
        <v>0.19531049131572464</v>
      </c>
    </row>
    <row r="9" spans="1:21">
      <c r="A9" s="5" t="s">
        <v>105</v>
      </c>
      <c r="B9" s="38">
        <v>1584580.2</v>
      </c>
      <c r="C9" s="93">
        <v>0.15720447154390887</v>
      </c>
      <c r="D9" s="125">
        <v>1785759</v>
      </c>
      <c r="E9" s="131">
        <v>0.16522459606571754</v>
      </c>
      <c r="F9" s="38">
        <v>2233019</v>
      </c>
      <c r="G9" s="93">
        <v>0.20005420141604557</v>
      </c>
      <c r="H9" s="125">
        <v>2139053.7999999998</v>
      </c>
      <c r="I9" s="131">
        <v>0.19823784978045175</v>
      </c>
      <c r="J9" s="38">
        <v>2034410</v>
      </c>
      <c r="K9" s="93">
        <v>0.18821218728981887</v>
      </c>
      <c r="L9" s="125">
        <v>1925619</v>
      </c>
      <c r="M9" s="131">
        <v>0.17989495643270401</v>
      </c>
      <c r="N9" s="38">
        <v>1700046</v>
      </c>
      <c r="O9" s="93">
        <v>0.16350400766332165</v>
      </c>
      <c r="P9" s="125">
        <v>1540480</v>
      </c>
      <c r="Q9" s="131">
        <v>0.15019782885512767</v>
      </c>
      <c r="R9" s="38">
        <v>1699855.2</v>
      </c>
      <c r="S9" s="93">
        <v>0.16391651117379041</v>
      </c>
      <c r="T9" s="125">
        <v>1801536.5999999999</v>
      </c>
      <c r="U9" s="93">
        <v>0.16680925335046914</v>
      </c>
    </row>
    <row r="10" spans="1:21">
      <c r="A10" s="70" t="s">
        <v>87</v>
      </c>
      <c r="B10" s="38">
        <v>203074.4</v>
      </c>
      <c r="C10" s="93">
        <v>2.014678950052283E-2</v>
      </c>
      <c r="D10" s="125">
        <v>213446.1</v>
      </c>
      <c r="E10" s="131">
        <v>1.9748771057182275E-2</v>
      </c>
      <c r="F10" s="38">
        <v>170601.7</v>
      </c>
      <c r="G10" s="93">
        <v>1.5284055735181736E-2</v>
      </c>
      <c r="H10" s="125">
        <v>334664.90000000002</v>
      </c>
      <c r="I10" s="131">
        <v>3.1015232142824044E-2</v>
      </c>
      <c r="J10" s="38">
        <v>191526.1</v>
      </c>
      <c r="K10" s="93">
        <v>1.7718919098946909E-2</v>
      </c>
      <c r="L10" s="125">
        <v>285466</v>
      </c>
      <c r="M10" s="131">
        <v>2.6668771773138034E-2</v>
      </c>
      <c r="N10" s="38">
        <v>118297</v>
      </c>
      <c r="O10" s="93">
        <v>1.1377358962373938E-2</v>
      </c>
      <c r="P10" s="125">
        <v>262837.09999999998</v>
      </c>
      <c r="Q10" s="131">
        <v>2.5626792793530632E-2</v>
      </c>
      <c r="R10" s="38">
        <v>83643.5</v>
      </c>
      <c r="S10" s="93">
        <v>8.0657168342132546E-3</v>
      </c>
      <c r="T10" s="125">
        <v>62652.400000000023</v>
      </c>
      <c r="U10" s="93">
        <v>5.8011588910349852E-3</v>
      </c>
    </row>
    <row r="11" spans="1:21">
      <c r="A11" s="73" t="s">
        <v>55</v>
      </c>
      <c r="B11" s="38">
        <v>37325395.800000004</v>
      </c>
      <c r="C11" s="93">
        <v>3.7030117641923312</v>
      </c>
      <c r="D11" s="125">
        <v>40509030.600000001</v>
      </c>
      <c r="E11" s="131">
        <v>3.7480355512131212</v>
      </c>
      <c r="F11" s="38">
        <v>44235022.299999997</v>
      </c>
      <c r="G11" s="93">
        <v>3.962976607385547</v>
      </c>
      <c r="H11" s="125">
        <v>46026173.899999999</v>
      </c>
      <c r="I11" s="131">
        <v>4.2654980195248715</v>
      </c>
      <c r="J11" s="38">
        <v>45078325.200000003</v>
      </c>
      <c r="K11" s="93">
        <v>4.1703934729252037</v>
      </c>
      <c r="L11" s="125">
        <v>42958189.399999999</v>
      </c>
      <c r="M11" s="131">
        <v>4.0132350223698703</v>
      </c>
      <c r="N11" s="38">
        <v>39659662.299999997</v>
      </c>
      <c r="O11" s="93">
        <v>3.8143166294464672</v>
      </c>
      <c r="P11" s="125">
        <v>38572093.399999999</v>
      </c>
      <c r="Q11" s="131">
        <v>3.7608048680133459</v>
      </c>
      <c r="R11" s="38">
        <v>38301299.5</v>
      </c>
      <c r="S11" s="93">
        <v>3.693382464260746</v>
      </c>
      <c r="T11" s="125">
        <v>39824838</v>
      </c>
      <c r="U11" s="93">
        <v>3.6874918286885716</v>
      </c>
    </row>
    <row r="12" spans="1:21">
      <c r="A12" s="70" t="s">
        <v>98</v>
      </c>
      <c r="B12" s="38">
        <v>35554721.600000001</v>
      </c>
      <c r="C12" s="93">
        <v>3.5273451100921256</v>
      </c>
      <c r="D12" s="125">
        <v>38709487</v>
      </c>
      <c r="E12" s="131">
        <v>3.5815355563019118</v>
      </c>
      <c r="F12" s="38">
        <v>42191964</v>
      </c>
      <c r="G12" s="93">
        <v>3.7799408174290248</v>
      </c>
      <c r="H12" s="125">
        <v>44171785.600000001</v>
      </c>
      <c r="I12" s="131">
        <v>4.093641683209241</v>
      </c>
      <c r="J12" s="38">
        <v>43405933</v>
      </c>
      <c r="K12" s="93">
        <v>4.0156731392813301</v>
      </c>
      <c r="L12" s="125">
        <v>41924885</v>
      </c>
      <c r="M12" s="131">
        <v>3.9167017777250464</v>
      </c>
      <c r="N12" s="38">
        <v>38455725</v>
      </c>
      <c r="O12" s="93">
        <v>3.6985264840472496</v>
      </c>
      <c r="P12" s="125">
        <v>37899147</v>
      </c>
      <c r="Q12" s="131">
        <v>3.6951921445661902</v>
      </c>
      <c r="R12" s="38">
        <v>37611776.600000001</v>
      </c>
      <c r="S12" s="93">
        <v>3.6268919842819605</v>
      </c>
      <c r="T12" s="125">
        <v>39136998.799999997</v>
      </c>
      <c r="U12" s="93">
        <v>3.6238028959312887</v>
      </c>
    </row>
    <row r="13" spans="1:21">
      <c r="A13" s="70" t="s">
        <v>99</v>
      </c>
      <c r="B13" s="38">
        <v>1770674.2</v>
      </c>
      <c r="C13" s="93">
        <v>0.17566665410020496</v>
      </c>
      <c r="D13" s="125">
        <v>1799543.6</v>
      </c>
      <c r="E13" s="131">
        <v>0.16649999491120987</v>
      </c>
      <c r="F13" s="38">
        <v>2043058.3</v>
      </c>
      <c r="G13" s="93">
        <v>0.18303578995652242</v>
      </c>
      <c r="H13" s="125">
        <v>1854388.3</v>
      </c>
      <c r="I13" s="131">
        <v>0.17185633631563046</v>
      </c>
      <c r="J13" s="38">
        <v>1672392.2</v>
      </c>
      <c r="K13" s="93">
        <v>0.15472033364387328</v>
      </c>
      <c r="L13" s="125">
        <v>1033304.3999999999</v>
      </c>
      <c r="M13" s="131">
        <v>9.6533244644824004E-2</v>
      </c>
      <c r="N13" s="38">
        <v>1203937.3</v>
      </c>
      <c r="O13" s="93">
        <v>0.11579014539921791</v>
      </c>
      <c r="P13" s="125">
        <v>672946.4</v>
      </c>
      <c r="Q13" s="131">
        <v>6.5612723447155616E-2</v>
      </c>
      <c r="R13" s="38">
        <v>689522.9</v>
      </c>
      <c r="S13" s="93">
        <v>6.6490479978785461E-2</v>
      </c>
      <c r="T13" s="125">
        <v>687839.2</v>
      </c>
      <c r="U13" s="93">
        <v>6.3688932757282879E-2</v>
      </c>
    </row>
    <row r="14" spans="1:21">
      <c r="A14" s="73" t="s">
        <v>2</v>
      </c>
      <c r="B14" s="38">
        <v>2184983.7000000002</v>
      </c>
      <c r="C14" s="93">
        <v>0.2167698472381232</v>
      </c>
      <c r="D14" s="125">
        <v>2455347.7999999998</v>
      </c>
      <c r="E14" s="131">
        <v>0.22717726661651891</v>
      </c>
      <c r="F14" s="38">
        <v>2589210.9</v>
      </c>
      <c r="G14" s="93">
        <v>0.2319651193730195</v>
      </c>
      <c r="H14" s="125">
        <v>2725988.4</v>
      </c>
      <c r="I14" s="131">
        <v>0.25263229888956229</v>
      </c>
      <c r="J14" s="38">
        <v>3037631</v>
      </c>
      <c r="K14" s="93">
        <v>0.28102455979343388</v>
      </c>
      <c r="L14" s="125">
        <v>2738038</v>
      </c>
      <c r="M14" s="131">
        <v>0.25579267067944805</v>
      </c>
      <c r="N14" s="38">
        <v>2490711</v>
      </c>
      <c r="O14" s="93">
        <v>0.23954718309452777</v>
      </c>
      <c r="P14" s="125">
        <v>2353616.1</v>
      </c>
      <c r="Q14" s="131">
        <v>0.22947914168212052</v>
      </c>
      <c r="R14" s="38">
        <v>2346500.5</v>
      </c>
      <c r="S14" s="93">
        <v>0.2262723174465418</v>
      </c>
      <c r="T14" s="125">
        <v>2395280.4999999995</v>
      </c>
      <c r="U14" s="93">
        <v>0.22178564219563363</v>
      </c>
    </row>
    <row r="15" spans="1:21">
      <c r="A15" s="74" t="s">
        <v>3</v>
      </c>
      <c r="B15" s="1"/>
      <c r="C15" s="93"/>
      <c r="D15" s="126"/>
      <c r="E15" s="131"/>
      <c r="F15" s="1"/>
      <c r="G15" s="93"/>
      <c r="H15" s="126"/>
      <c r="I15" s="131"/>
      <c r="J15" s="40"/>
      <c r="K15" s="93"/>
      <c r="L15" s="126"/>
      <c r="M15" s="131"/>
      <c r="N15" s="33"/>
      <c r="O15" s="93"/>
      <c r="P15" s="126"/>
      <c r="Q15" s="131"/>
      <c r="R15" s="38"/>
      <c r="S15" s="93"/>
      <c r="T15" s="125"/>
      <c r="U15" s="93"/>
    </row>
    <row r="16" spans="1:21">
      <c r="A16" s="70" t="s">
        <v>88</v>
      </c>
      <c r="B16" s="38">
        <v>4110000</v>
      </c>
      <c r="C16" s="93">
        <v>0.40774861256341932</v>
      </c>
      <c r="D16" s="125">
        <v>4330000</v>
      </c>
      <c r="E16" s="131">
        <v>0.40062656885086795</v>
      </c>
      <c r="F16" s="38">
        <v>4588000</v>
      </c>
      <c r="G16" s="93">
        <v>0.41103487077217754</v>
      </c>
      <c r="H16" s="125">
        <v>4791000</v>
      </c>
      <c r="I16" s="131">
        <v>0.44400825182524367</v>
      </c>
      <c r="J16" s="38">
        <v>4837000</v>
      </c>
      <c r="K16" s="93">
        <v>0.44749207383017875</v>
      </c>
      <c r="L16" s="125">
        <v>4753000</v>
      </c>
      <c r="M16" s="131">
        <v>0.44403421856797332</v>
      </c>
      <c r="N16" s="38">
        <v>4668000</v>
      </c>
      <c r="O16" s="93">
        <v>0.44895062120224127</v>
      </c>
      <c r="P16" s="125">
        <v>4433000</v>
      </c>
      <c r="Q16" s="131">
        <v>0.43222046071015585</v>
      </c>
      <c r="R16" s="38">
        <v>4464000</v>
      </c>
      <c r="S16" s="93">
        <v>0.43046213929268823</v>
      </c>
      <c r="T16" s="125">
        <v>4536000</v>
      </c>
      <c r="U16" s="93">
        <v>0.42000077777921813</v>
      </c>
    </row>
    <row r="17" spans="1:21">
      <c r="A17" s="74" t="s">
        <v>4</v>
      </c>
      <c r="B17" s="1"/>
      <c r="C17" s="93"/>
      <c r="D17" s="126"/>
      <c r="E17" s="131"/>
      <c r="F17" s="1"/>
      <c r="G17" s="93"/>
      <c r="H17" s="126"/>
      <c r="I17" s="131"/>
      <c r="J17" s="40"/>
      <c r="K17" s="93"/>
      <c r="L17" s="126"/>
      <c r="M17" s="131"/>
      <c r="N17" s="33"/>
      <c r="O17" s="93"/>
      <c r="P17" s="126"/>
      <c r="Q17" s="131"/>
      <c r="R17" s="33"/>
      <c r="S17" s="93"/>
      <c r="T17" s="133"/>
      <c r="U17" s="93"/>
    </row>
    <row r="18" spans="1:21">
      <c r="A18" s="70" t="s">
        <v>89</v>
      </c>
      <c r="B18" s="38">
        <v>-640217.19999999995</v>
      </c>
      <c r="C18" s="93">
        <v>-6.3515249401274232E-2</v>
      </c>
      <c r="D18" s="125">
        <v>-593066.5</v>
      </c>
      <c r="E18" s="131">
        <v>-5.4872562816488044E-2</v>
      </c>
      <c r="F18" s="38">
        <v>-572916</v>
      </c>
      <c r="G18" s="93">
        <v>-5.132703880194265E-2</v>
      </c>
      <c r="H18" s="125">
        <v>-610790.69999999995</v>
      </c>
      <c r="I18" s="131">
        <v>-5.6605324762704412E-2</v>
      </c>
      <c r="J18" s="38">
        <v>-568780.30000000005</v>
      </c>
      <c r="K18" s="93">
        <v>-5.2620358900300021E-2</v>
      </c>
      <c r="L18" s="125">
        <v>-484815.8</v>
      </c>
      <c r="M18" s="131">
        <v>-4.5292405828404547E-2</v>
      </c>
      <c r="N18" s="38">
        <v>-388240</v>
      </c>
      <c r="O18" s="93">
        <v>-3.7339457835380924E-2</v>
      </c>
      <c r="P18" s="125">
        <v>-353210</v>
      </c>
      <c r="Q18" s="131">
        <v>-3.4438210901744676E-2</v>
      </c>
      <c r="R18" s="38">
        <v>-305897.59999999998</v>
      </c>
      <c r="S18" s="93">
        <v>-2.9497610954412862E-2</v>
      </c>
      <c r="T18" s="125">
        <v>-211544.9</v>
      </c>
      <c r="U18" s="93">
        <v>-1.9587527013938913E-2</v>
      </c>
    </row>
    <row r="19" spans="1:21">
      <c r="A19" s="70" t="s">
        <v>90</v>
      </c>
      <c r="B19" s="38">
        <v>-1326486.2</v>
      </c>
      <c r="C19" s="93">
        <v>-0.13159924759964045</v>
      </c>
      <c r="D19" s="125">
        <v>-1433843</v>
      </c>
      <c r="E19" s="131">
        <v>-0.13266411116878407</v>
      </c>
      <c r="F19" s="38">
        <v>-1526929.7</v>
      </c>
      <c r="G19" s="93">
        <v>-0.13679628420176543</v>
      </c>
      <c r="H19" s="125">
        <v>-1511078.7</v>
      </c>
      <c r="I19" s="131">
        <v>-0.14003995240187056</v>
      </c>
      <c r="J19" s="38">
        <v>-1510783.4</v>
      </c>
      <c r="K19" s="93">
        <v>-0.13976919511561059</v>
      </c>
      <c r="L19" s="125">
        <v>-1544417</v>
      </c>
      <c r="M19" s="131">
        <v>-0.14428234709406557</v>
      </c>
      <c r="N19" s="38">
        <v>-1772062</v>
      </c>
      <c r="O19" s="93">
        <v>-0.17043023472769625</v>
      </c>
      <c r="P19" s="125">
        <v>-1834243</v>
      </c>
      <c r="Q19" s="131">
        <v>-0.17883991755343526</v>
      </c>
      <c r="R19" s="38">
        <v>-1742639.5</v>
      </c>
      <c r="S19" s="93">
        <v>-0.16804218798968201</v>
      </c>
      <c r="T19" s="125">
        <v>-1784411.4000000001</v>
      </c>
      <c r="U19" s="93">
        <v>-0.16522358374737733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3"/>
      <c r="S20" s="33"/>
    </row>
    <row r="21" spans="1:21">
      <c r="A21" s="75" t="s">
        <v>115</v>
      </c>
      <c r="B21" s="59"/>
      <c r="C21" s="59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5" spans="1:21">
      <c r="B25" t="s">
        <v>116</v>
      </c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V7" sqref="V7"/>
    </sheetView>
  </sheetViews>
  <sheetFormatPr baseColWidth="10" defaultRowHeight="12.75"/>
  <cols>
    <col min="1" max="1" width="32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  <col min="19" max="19" width="7.7109375" bestFit="1" customWidth="1"/>
  </cols>
  <sheetData>
    <row r="1" spans="1:21">
      <c r="A1" s="36" t="s">
        <v>135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1"/>
      <c r="S1" s="1"/>
    </row>
    <row r="2" spans="1:21" ht="13.5" thickBot="1">
      <c r="A2" s="31"/>
      <c r="B2" s="34"/>
      <c r="C2" s="46"/>
      <c r="D2" s="34"/>
      <c r="E2" s="34"/>
      <c r="F2" s="34"/>
      <c r="G2" s="34"/>
      <c r="H2" s="34"/>
      <c r="I2" s="34"/>
      <c r="J2" s="41"/>
      <c r="K2" s="1"/>
      <c r="L2" s="34"/>
      <c r="M2" s="46"/>
      <c r="N2" s="33"/>
      <c r="O2" s="33"/>
      <c r="P2" s="33"/>
      <c r="Q2" s="33"/>
      <c r="R2" s="33"/>
      <c r="S2" s="33"/>
    </row>
    <row r="3" spans="1:21">
      <c r="A3" s="167"/>
      <c r="B3" s="44">
        <v>2006</v>
      </c>
      <c r="C3" s="127"/>
      <c r="D3" s="44">
        <v>2007</v>
      </c>
      <c r="E3" s="44"/>
      <c r="F3" s="121">
        <v>2008</v>
      </c>
      <c r="G3" s="127"/>
      <c r="H3" s="44">
        <v>2009</v>
      </c>
      <c r="I3" s="45"/>
      <c r="J3" s="121">
        <v>2010</v>
      </c>
      <c r="K3" s="127"/>
      <c r="L3" s="44">
        <v>2011</v>
      </c>
      <c r="M3" s="45"/>
      <c r="N3" s="121">
        <v>2012</v>
      </c>
      <c r="O3" s="127"/>
      <c r="P3" s="44">
        <v>2013</v>
      </c>
      <c r="Q3" s="192"/>
      <c r="R3" s="44">
        <v>2014</v>
      </c>
      <c r="S3" s="45"/>
      <c r="T3" s="121">
        <v>2015</v>
      </c>
      <c r="U3" s="192"/>
    </row>
    <row r="4" spans="1:21" ht="18">
      <c r="A4" s="168"/>
      <c r="B4" s="37" t="s">
        <v>54</v>
      </c>
      <c r="C4" s="37" t="s">
        <v>73</v>
      </c>
      <c r="D4" s="122" t="s">
        <v>54</v>
      </c>
      <c r="E4" s="128" t="s">
        <v>73</v>
      </c>
      <c r="F4" s="37" t="s">
        <v>54</v>
      </c>
      <c r="G4" s="37" t="s">
        <v>73</v>
      </c>
      <c r="H4" s="122" t="s">
        <v>54</v>
      </c>
      <c r="I4" s="128" t="s">
        <v>73</v>
      </c>
      <c r="J4" s="42" t="s">
        <v>54</v>
      </c>
      <c r="K4" s="37" t="s">
        <v>73</v>
      </c>
      <c r="L4" s="122" t="s">
        <v>54</v>
      </c>
      <c r="M4" s="128" t="s">
        <v>73</v>
      </c>
      <c r="N4" s="42" t="s">
        <v>54</v>
      </c>
      <c r="O4" s="37" t="s">
        <v>73</v>
      </c>
      <c r="P4" s="122" t="s">
        <v>54</v>
      </c>
      <c r="Q4" s="128" t="s">
        <v>73</v>
      </c>
      <c r="R4" s="42" t="s">
        <v>54</v>
      </c>
      <c r="S4" s="37" t="s">
        <v>73</v>
      </c>
      <c r="T4" s="132" t="s">
        <v>54</v>
      </c>
      <c r="U4" s="128" t="s">
        <v>73</v>
      </c>
    </row>
    <row r="5" spans="1:21">
      <c r="A5" s="47"/>
      <c r="B5" s="40"/>
      <c r="C5" s="1"/>
      <c r="D5" s="123"/>
      <c r="E5" s="129"/>
      <c r="F5" s="40"/>
      <c r="G5" s="1"/>
      <c r="H5" s="123"/>
      <c r="I5" s="129"/>
      <c r="J5" s="40"/>
      <c r="K5" s="1"/>
      <c r="L5" s="123"/>
      <c r="M5" s="129"/>
      <c r="N5" s="40"/>
      <c r="O5" s="33"/>
      <c r="P5" s="123"/>
      <c r="Q5" s="129"/>
      <c r="R5" s="40"/>
      <c r="S5" s="87"/>
      <c r="T5" s="123"/>
      <c r="U5" s="193"/>
    </row>
    <row r="6" spans="1:21">
      <c r="A6" s="3" t="s">
        <v>0</v>
      </c>
      <c r="B6" s="87">
        <v>43209494.099999994</v>
      </c>
      <c r="C6" s="92">
        <v>4.29</v>
      </c>
      <c r="D6" s="124">
        <v>46790759.399999999</v>
      </c>
      <c r="E6" s="130">
        <v>4.33</v>
      </c>
      <c r="F6" s="87">
        <v>51122863.399999991</v>
      </c>
      <c r="G6" s="92">
        <v>4.58</v>
      </c>
      <c r="H6" s="124">
        <v>53374924.299999997</v>
      </c>
      <c r="I6" s="130">
        <v>4.95</v>
      </c>
      <c r="J6" s="87">
        <v>52557675.700000003</v>
      </c>
      <c r="K6" s="92">
        <v>4.8600000000000003</v>
      </c>
      <c r="L6" s="124">
        <v>50343946.5</v>
      </c>
      <c r="M6" s="130">
        <v>4.7</v>
      </c>
      <c r="N6" s="87">
        <v>46215892.899999999</v>
      </c>
      <c r="O6" s="92">
        <v>4.4400000000000004</v>
      </c>
      <c r="P6" s="124">
        <v>44491476.800000004</v>
      </c>
      <c r="Q6" s="130">
        <v>4.34</v>
      </c>
      <c r="R6" s="87">
        <v>44519154.5</v>
      </c>
      <c r="S6" s="92">
        <v>4.29</v>
      </c>
      <c r="T6" s="124">
        <v>46288966.500000007</v>
      </c>
      <c r="U6" s="130">
        <v>4.29</v>
      </c>
    </row>
    <row r="7" spans="1:21">
      <c r="A7" s="73" t="s">
        <v>1</v>
      </c>
      <c r="B7" s="38">
        <v>1768846.2999999998</v>
      </c>
      <c r="C7" s="93">
        <v>0.18</v>
      </c>
      <c r="D7" s="125">
        <v>1939637.1</v>
      </c>
      <c r="E7" s="131">
        <v>0.18</v>
      </c>
      <c r="F7" s="38">
        <v>2111640.7999999998</v>
      </c>
      <c r="G7" s="93">
        <v>0.19</v>
      </c>
      <c r="H7" s="125">
        <v>2310933.9</v>
      </c>
      <c r="I7" s="131">
        <v>0.21</v>
      </c>
      <c r="J7" s="38">
        <v>2026534.7</v>
      </c>
      <c r="K7" s="93">
        <v>0.19</v>
      </c>
      <c r="L7" s="125">
        <v>2200934.9</v>
      </c>
      <c r="M7" s="131">
        <v>0.21</v>
      </c>
      <c r="N7" s="38">
        <v>1813024.1</v>
      </c>
      <c r="O7" s="93">
        <v>0.17</v>
      </c>
      <c r="P7" s="125">
        <v>1798638</v>
      </c>
      <c r="Q7" s="131">
        <v>0.18</v>
      </c>
      <c r="R7" s="38">
        <v>1778831.6</v>
      </c>
      <c r="S7" s="93">
        <v>0.17</v>
      </c>
      <c r="T7" s="125">
        <v>1784361.5999999999</v>
      </c>
      <c r="U7" s="131">
        <v>0.17</v>
      </c>
    </row>
    <row r="8" spans="1:21">
      <c r="A8" s="5" t="s">
        <v>104</v>
      </c>
      <c r="B8" s="38">
        <v>1868627.9</v>
      </c>
      <c r="C8" s="93">
        <v>0.19</v>
      </c>
      <c r="D8" s="125">
        <v>2125672</v>
      </c>
      <c r="E8" s="131">
        <v>0.2</v>
      </c>
      <c r="F8" s="38">
        <v>2663708</v>
      </c>
      <c r="G8" s="93">
        <v>0.24</v>
      </c>
      <c r="H8" s="125">
        <v>2818211.3</v>
      </c>
      <c r="I8" s="131">
        <v>0.26</v>
      </c>
      <c r="J8" s="38">
        <v>2604885.4</v>
      </c>
      <c r="K8" s="93">
        <v>0.24</v>
      </c>
      <c r="L8" s="125">
        <v>2350548.9</v>
      </c>
      <c r="M8" s="131">
        <v>0.22</v>
      </c>
      <c r="N8" s="38">
        <v>1954335</v>
      </c>
      <c r="O8" s="93">
        <v>0.19</v>
      </c>
      <c r="P8" s="125">
        <v>1767472.7</v>
      </c>
      <c r="Q8" s="131">
        <v>0.17</v>
      </c>
      <c r="R8" s="38">
        <v>1942319.8</v>
      </c>
      <c r="S8" s="93">
        <v>0.19</v>
      </c>
      <c r="T8" s="125">
        <v>2029720.4</v>
      </c>
      <c r="U8" s="131">
        <v>0.19</v>
      </c>
    </row>
    <row r="9" spans="1:21">
      <c r="A9" s="5" t="s">
        <v>105</v>
      </c>
      <c r="B9" s="38">
        <v>1565771.9</v>
      </c>
      <c r="C9" s="93">
        <v>0.16</v>
      </c>
      <c r="D9" s="125">
        <v>1726191</v>
      </c>
      <c r="E9" s="131">
        <v>0.16</v>
      </c>
      <c r="F9" s="38">
        <v>1941049</v>
      </c>
      <c r="G9" s="93">
        <v>0.17</v>
      </c>
      <c r="H9" s="125">
        <v>1976283.2999999998</v>
      </c>
      <c r="I9" s="131">
        <v>0.18</v>
      </c>
      <c r="J9" s="38">
        <v>1835018.4</v>
      </c>
      <c r="K9" s="93">
        <v>0.17</v>
      </c>
      <c r="L9" s="125">
        <v>1915478.9</v>
      </c>
      <c r="M9" s="131">
        <v>0.18</v>
      </c>
      <c r="N9" s="38">
        <v>1694734</v>
      </c>
      <c r="O9" s="93">
        <v>0.16</v>
      </c>
      <c r="P9" s="125">
        <v>1535807</v>
      </c>
      <c r="Q9" s="131">
        <v>0.15</v>
      </c>
      <c r="R9" s="38">
        <v>1695286.5</v>
      </c>
      <c r="S9" s="93">
        <v>0.16</v>
      </c>
      <c r="T9" s="125">
        <v>1721907.5999999999</v>
      </c>
      <c r="U9" s="131">
        <v>0.16</v>
      </c>
    </row>
    <row r="10" spans="1:21">
      <c r="A10" s="70" t="s">
        <v>87</v>
      </c>
      <c r="B10" s="38">
        <v>203074.4</v>
      </c>
      <c r="C10" s="93">
        <v>0.02</v>
      </c>
      <c r="D10" s="125">
        <v>213446.1</v>
      </c>
      <c r="E10" s="131">
        <v>0.02</v>
      </c>
      <c r="F10" s="38">
        <v>170591.80000000002</v>
      </c>
      <c r="G10" s="93">
        <v>0.02</v>
      </c>
      <c r="H10" s="125">
        <v>334650.60000000003</v>
      </c>
      <c r="I10" s="131">
        <v>0.03</v>
      </c>
      <c r="J10" s="38">
        <v>191516.30000000002</v>
      </c>
      <c r="K10" s="93">
        <v>0.02</v>
      </c>
      <c r="L10" s="125">
        <v>285456</v>
      </c>
      <c r="M10" s="131">
        <v>0.03</v>
      </c>
      <c r="N10" s="38">
        <v>118290.1</v>
      </c>
      <c r="O10" s="93">
        <v>0.01</v>
      </c>
      <c r="P10" s="125">
        <v>262831</v>
      </c>
      <c r="Q10" s="131">
        <v>0.03</v>
      </c>
      <c r="R10" s="38">
        <v>83545.100000000006</v>
      </c>
      <c r="S10" s="93">
        <v>0.01</v>
      </c>
      <c r="T10" s="125">
        <v>62454.000000000022</v>
      </c>
      <c r="U10" s="131">
        <v>0.01</v>
      </c>
    </row>
    <row r="11" spans="1:21">
      <c r="A11" s="73" t="s">
        <v>55</v>
      </c>
      <c r="B11" s="38">
        <v>37113736.600000001</v>
      </c>
      <c r="C11" s="93">
        <v>3.68</v>
      </c>
      <c r="D11" s="125">
        <v>40094904</v>
      </c>
      <c r="E11" s="131">
        <v>3.71</v>
      </c>
      <c r="F11" s="38">
        <v>43937158.399999999</v>
      </c>
      <c r="G11" s="93">
        <v>3.94</v>
      </c>
      <c r="H11" s="125">
        <v>45669821.400000006</v>
      </c>
      <c r="I11" s="131">
        <v>4.2300000000000004</v>
      </c>
      <c r="J11" s="38">
        <v>44737749.399999999</v>
      </c>
      <c r="K11" s="93">
        <v>4.1399999999999997</v>
      </c>
      <c r="L11" s="125">
        <v>42686519.5</v>
      </c>
      <c r="M11" s="131">
        <v>3.99</v>
      </c>
      <c r="N11" s="38">
        <v>39406405</v>
      </c>
      <c r="O11" s="93">
        <v>3.79</v>
      </c>
      <c r="P11" s="125">
        <v>38096271.200000003</v>
      </c>
      <c r="Q11" s="131">
        <v>3.71</v>
      </c>
      <c r="R11" s="38">
        <v>37979593.100000001</v>
      </c>
      <c r="S11" s="93">
        <v>3.66</v>
      </c>
      <c r="T11" s="125">
        <v>39571284.600000001</v>
      </c>
      <c r="U11" s="131">
        <v>3.66</v>
      </c>
    </row>
    <row r="12" spans="1:21">
      <c r="A12" s="70" t="s">
        <v>98</v>
      </c>
      <c r="B12" s="38">
        <v>35343115.600000001</v>
      </c>
      <c r="C12" s="93">
        <v>3.51</v>
      </c>
      <c r="D12" s="125">
        <v>38295377</v>
      </c>
      <c r="E12" s="131">
        <v>3.54</v>
      </c>
      <c r="F12" s="38">
        <v>41894210.799999997</v>
      </c>
      <c r="G12" s="93">
        <v>3.75</v>
      </c>
      <c r="H12" s="125">
        <v>43815450.300000004</v>
      </c>
      <c r="I12" s="131">
        <v>4.0599999999999996</v>
      </c>
      <c r="J12" s="38">
        <v>43065374.100000001</v>
      </c>
      <c r="K12" s="93">
        <v>3.98</v>
      </c>
      <c r="L12" s="125">
        <v>41653220</v>
      </c>
      <c r="M12" s="131">
        <v>3.89</v>
      </c>
      <c r="N12" s="38">
        <v>38202480</v>
      </c>
      <c r="O12" s="93">
        <v>3.67</v>
      </c>
      <c r="P12" s="125">
        <v>37423417</v>
      </c>
      <c r="Q12" s="131">
        <v>3.65</v>
      </c>
      <c r="R12" s="38">
        <v>37290102.100000001</v>
      </c>
      <c r="S12" s="93">
        <v>3.6</v>
      </c>
      <c r="T12" s="125">
        <v>38884693.899999999</v>
      </c>
      <c r="U12" s="131">
        <v>3.6</v>
      </c>
    </row>
    <row r="13" spans="1:21">
      <c r="A13" s="70" t="s">
        <v>99</v>
      </c>
      <c r="B13" s="38">
        <v>1770621</v>
      </c>
      <c r="C13" s="93">
        <v>0.18</v>
      </c>
      <c r="D13" s="125">
        <v>1799527</v>
      </c>
      <c r="E13" s="131">
        <v>0.17</v>
      </c>
      <c r="F13" s="38">
        <v>2042947.6</v>
      </c>
      <c r="G13" s="93">
        <v>0.18</v>
      </c>
      <c r="H13" s="125">
        <v>1854371.1</v>
      </c>
      <c r="I13" s="131">
        <v>0.17</v>
      </c>
      <c r="J13" s="38">
        <v>1672375.3</v>
      </c>
      <c r="K13" s="93">
        <v>0.15</v>
      </c>
      <c r="L13" s="125">
        <v>1033299.4999999999</v>
      </c>
      <c r="M13" s="131">
        <v>0.1</v>
      </c>
      <c r="N13" s="38">
        <v>1203925</v>
      </c>
      <c r="O13" s="93">
        <v>0.12</v>
      </c>
      <c r="P13" s="125">
        <v>672854.20000000007</v>
      </c>
      <c r="Q13" s="131">
        <v>7.0000000000000007E-2</v>
      </c>
      <c r="R13" s="38">
        <v>689491</v>
      </c>
      <c r="S13" s="93">
        <v>7.0000000000000007E-2</v>
      </c>
      <c r="T13" s="125">
        <v>686590.7</v>
      </c>
      <c r="U13" s="131">
        <v>0.06</v>
      </c>
    </row>
    <row r="14" spans="1:21">
      <c r="A14" s="73" t="s">
        <v>2</v>
      </c>
      <c r="B14" s="38">
        <v>2183614.6</v>
      </c>
      <c r="C14" s="93">
        <v>0.22</v>
      </c>
      <c r="D14" s="125">
        <v>2453126.7999999998</v>
      </c>
      <c r="E14" s="131">
        <v>0.23</v>
      </c>
      <c r="F14" s="38">
        <v>2585909.9</v>
      </c>
      <c r="G14" s="93">
        <v>0.23</v>
      </c>
      <c r="H14" s="125">
        <v>2725038.4</v>
      </c>
      <c r="I14" s="131">
        <v>0.25</v>
      </c>
      <c r="J14" s="38">
        <v>3035955.3</v>
      </c>
      <c r="K14" s="93">
        <v>0.28000000000000003</v>
      </c>
      <c r="L14" s="125">
        <v>2732725.9</v>
      </c>
      <c r="M14" s="131">
        <v>0.26</v>
      </c>
      <c r="N14" s="38">
        <v>2488766.7999999998</v>
      </c>
      <c r="O14" s="131">
        <v>0.24</v>
      </c>
      <c r="P14" s="38">
        <v>2351021.6</v>
      </c>
      <c r="Q14" s="131">
        <v>0.23</v>
      </c>
      <c r="R14" s="38">
        <v>2345266.9</v>
      </c>
      <c r="S14" s="131">
        <v>0.23</v>
      </c>
      <c r="T14" s="38">
        <v>2393276.5999999996</v>
      </c>
      <c r="U14" s="131">
        <v>0.22</v>
      </c>
    </row>
    <row r="15" spans="1:21">
      <c r="A15" s="74" t="s">
        <v>3</v>
      </c>
      <c r="B15" s="1"/>
      <c r="C15" s="93"/>
      <c r="D15" s="126"/>
      <c r="E15" s="131"/>
      <c r="F15" s="1"/>
      <c r="G15" s="93"/>
      <c r="H15" s="126"/>
      <c r="I15" s="131"/>
      <c r="J15" s="40"/>
      <c r="K15" s="93"/>
      <c r="L15" s="126"/>
      <c r="M15" s="131"/>
      <c r="N15" s="33"/>
      <c r="O15" s="93"/>
      <c r="P15" s="126"/>
      <c r="Q15" s="131"/>
      <c r="R15" s="38"/>
      <c r="S15" s="93"/>
      <c r="T15" s="125"/>
      <c r="U15" s="131"/>
    </row>
    <row r="16" spans="1:21">
      <c r="A16" s="70" t="s">
        <v>88</v>
      </c>
      <c r="B16" s="38">
        <v>4110000</v>
      </c>
      <c r="C16" s="93">
        <v>0.41</v>
      </c>
      <c r="D16" s="125">
        <v>4330000</v>
      </c>
      <c r="E16" s="131">
        <v>0.4</v>
      </c>
      <c r="F16" s="38">
        <v>4588000</v>
      </c>
      <c r="G16" s="93">
        <v>0.41</v>
      </c>
      <c r="H16" s="125">
        <v>4791000</v>
      </c>
      <c r="I16" s="131">
        <v>0.44</v>
      </c>
      <c r="J16" s="38">
        <v>4837000</v>
      </c>
      <c r="K16" s="93">
        <v>0.45</v>
      </c>
      <c r="L16" s="125">
        <v>4753000</v>
      </c>
      <c r="M16" s="131">
        <v>0.44</v>
      </c>
      <c r="N16" s="38">
        <v>4668000</v>
      </c>
      <c r="O16" s="93">
        <v>0.45</v>
      </c>
      <c r="P16" s="125">
        <v>4433000</v>
      </c>
      <c r="Q16" s="131">
        <v>0.43</v>
      </c>
      <c r="R16" s="38">
        <v>4464000</v>
      </c>
      <c r="S16" s="93">
        <v>0.43</v>
      </c>
      <c r="T16" s="125">
        <v>4536000</v>
      </c>
      <c r="U16" s="131">
        <v>0.42</v>
      </c>
    </row>
    <row r="17" spans="1:21">
      <c r="A17" s="74" t="s">
        <v>4</v>
      </c>
      <c r="B17" s="1"/>
      <c r="C17" s="93"/>
      <c r="D17" s="126"/>
      <c r="E17" s="131"/>
      <c r="F17" s="1"/>
      <c r="G17" s="93"/>
      <c r="H17" s="126"/>
      <c r="I17" s="131"/>
      <c r="J17" s="40"/>
      <c r="K17" s="93"/>
      <c r="L17" s="126"/>
      <c r="M17" s="131"/>
      <c r="N17" s="33"/>
      <c r="O17" s="93"/>
      <c r="P17" s="126"/>
      <c r="Q17" s="131"/>
      <c r="R17" s="33"/>
      <c r="S17" s="93"/>
      <c r="T17" s="133"/>
      <c r="U17" s="131"/>
    </row>
    <row r="18" spans="1:21">
      <c r="A18" s="70" t="s">
        <v>89</v>
      </c>
      <c r="B18" s="38">
        <v>-640217.19999999995</v>
      </c>
      <c r="C18" s="93">
        <v>-0.06</v>
      </c>
      <c r="D18" s="125">
        <v>-593066.5</v>
      </c>
      <c r="E18" s="131">
        <v>-0.05</v>
      </c>
      <c r="F18" s="38">
        <v>-572916</v>
      </c>
      <c r="G18" s="93">
        <v>-0.05</v>
      </c>
      <c r="H18" s="125">
        <v>-610790.69999999995</v>
      </c>
      <c r="I18" s="131">
        <v>-0.06</v>
      </c>
      <c r="J18" s="38">
        <v>-568780.30000000005</v>
      </c>
      <c r="K18" s="93">
        <v>-0.05</v>
      </c>
      <c r="L18" s="125">
        <v>-484815.8</v>
      </c>
      <c r="M18" s="131">
        <v>-0.05</v>
      </c>
      <c r="N18" s="38">
        <v>-388240</v>
      </c>
      <c r="O18" s="93">
        <v>-0.04</v>
      </c>
      <c r="P18" s="125">
        <v>-353210</v>
      </c>
      <c r="Q18" s="131">
        <v>-0.03</v>
      </c>
      <c r="R18" s="38">
        <v>-305897.59999999998</v>
      </c>
      <c r="S18" s="93">
        <v>-0.03</v>
      </c>
      <c r="T18" s="125">
        <v>-211544.9</v>
      </c>
      <c r="U18" s="131">
        <v>-0.02</v>
      </c>
    </row>
    <row r="19" spans="1:21">
      <c r="A19" s="70" t="s">
        <v>90</v>
      </c>
      <c r="B19" s="38">
        <v>-1326486.2</v>
      </c>
      <c r="C19" s="93">
        <v>-0.13</v>
      </c>
      <c r="D19" s="125">
        <v>-1433843</v>
      </c>
      <c r="E19" s="131">
        <v>-0.13</v>
      </c>
      <c r="F19" s="38">
        <v>-1526929.7</v>
      </c>
      <c r="G19" s="93">
        <v>-0.14000000000000001</v>
      </c>
      <c r="H19" s="125">
        <v>-1511078.7</v>
      </c>
      <c r="I19" s="131">
        <v>-0.14000000000000001</v>
      </c>
      <c r="J19" s="38">
        <v>-1510783.4</v>
      </c>
      <c r="K19" s="93">
        <v>-0.14000000000000001</v>
      </c>
      <c r="L19" s="125">
        <v>-1544417</v>
      </c>
      <c r="M19" s="131">
        <v>-0.14000000000000001</v>
      </c>
      <c r="N19" s="38">
        <v>-1772062</v>
      </c>
      <c r="O19" s="93">
        <v>-0.17</v>
      </c>
      <c r="P19" s="125">
        <v>-1834243</v>
      </c>
      <c r="Q19" s="131">
        <v>-0.18</v>
      </c>
      <c r="R19" s="38">
        <v>-1742639.5</v>
      </c>
      <c r="S19" s="93">
        <v>-0.17</v>
      </c>
      <c r="T19" s="125">
        <v>-1784411.4000000001</v>
      </c>
      <c r="U19" s="131">
        <v>-0.17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9"/>
      <c r="S20" s="4"/>
    </row>
    <row r="21" spans="1:21">
      <c r="A21" s="75" t="s">
        <v>115</v>
      </c>
      <c r="B21" s="59"/>
      <c r="C21" s="59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59"/>
      <c r="S21" s="59"/>
    </row>
  </sheetData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zoomScaleNormal="100" workbookViewId="0">
      <selection sqref="A1:XFD1"/>
    </sheetView>
  </sheetViews>
  <sheetFormatPr baseColWidth="10" defaultRowHeight="12.75"/>
  <cols>
    <col min="1" max="1" width="19.28515625" customWidth="1"/>
    <col min="2" max="2" width="15.28515625" customWidth="1"/>
  </cols>
  <sheetData>
    <row r="1" spans="1:4">
      <c r="A1" s="36" t="s">
        <v>182</v>
      </c>
      <c r="B1" s="89"/>
      <c r="C1" s="104"/>
    </row>
    <row r="2" spans="1:4" ht="13.5" thickBot="1">
      <c r="A2" s="105"/>
      <c r="B2" s="89"/>
      <c r="C2" s="104"/>
    </row>
    <row r="3" spans="1:4" ht="21.75" customHeight="1">
      <c r="A3" s="196"/>
      <c r="B3" s="199" t="s">
        <v>85</v>
      </c>
      <c r="C3" s="199"/>
      <c r="D3" s="136"/>
    </row>
    <row r="4" spans="1:4">
      <c r="A4" s="198"/>
      <c r="B4" s="42" t="s">
        <v>56</v>
      </c>
      <c r="C4" s="37" t="s">
        <v>73</v>
      </c>
      <c r="D4" s="136"/>
    </row>
    <row r="5" spans="1:4">
      <c r="A5" s="70"/>
      <c r="B5" s="89"/>
      <c r="C5" s="104"/>
      <c r="D5" s="136"/>
    </row>
    <row r="6" spans="1:4">
      <c r="A6" s="165">
        <v>2006</v>
      </c>
      <c r="B6" s="89">
        <v>8441</v>
      </c>
      <c r="C6" s="164">
        <v>0.84</v>
      </c>
      <c r="D6" s="136"/>
    </row>
    <row r="7" spans="1:4">
      <c r="A7" s="166">
        <v>2007</v>
      </c>
      <c r="B7" s="89">
        <v>8753</v>
      </c>
      <c r="C7" s="164">
        <v>0.81</v>
      </c>
      <c r="D7" s="136"/>
    </row>
    <row r="8" spans="1:4">
      <c r="A8" s="165">
        <v>2008</v>
      </c>
      <c r="B8" s="89">
        <v>8729</v>
      </c>
      <c r="C8" s="164">
        <v>0.78</v>
      </c>
      <c r="D8" s="136"/>
    </row>
    <row r="9" spans="1:4">
      <c r="A9" s="166">
        <v>2009</v>
      </c>
      <c r="B9" s="89">
        <v>9013</v>
      </c>
      <c r="C9" s="164">
        <v>0.84</v>
      </c>
      <c r="D9" s="136"/>
    </row>
    <row r="10" spans="1:4">
      <c r="A10" s="165">
        <v>2010</v>
      </c>
      <c r="B10" s="89">
        <v>9308</v>
      </c>
      <c r="C10" s="164">
        <v>0.86</v>
      </c>
      <c r="D10" s="136"/>
    </row>
    <row r="11" spans="1:4">
      <c r="A11" s="166">
        <v>2011</v>
      </c>
      <c r="B11" s="89">
        <v>9773</v>
      </c>
      <c r="C11" s="164">
        <v>0.91</v>
      </c>
      <c r="D11" s="136"/>
    </row>
    <row r="12" spans="1:4">
      <c r="A12" s="165">
        <v>2012</v>
      </c>
      <c r="B12" s="89">
        <v>10706</v>
      </c>
      <c r="C12" s="164">
        <v>1.03</v>
      </c>
      <c r="D12" s="136"/>
    </row>
    <row r="13" spans="1:4">
      <c r="A13" s="166">
        <v>2013</v>
      </c>
      <c r="B13" s="89">
        <v>11370</v>
      </c>
      <c r="C13" s="164">
        <v>1.1100000000000001</v>
      </c>
      <c r="D13" s="136"/>
    </row>
    <row r="14" spans="1:4">
      <c r="A14" s="165">
        <v>2014</v>
      </c>
      <c r="B14" s="89">
        <v>11684</v>
      </c>
      <c r="C14" s="164">
        <v>1.1299999999999999</v>
      </c>
      <c r="D14" s="136"/>
    </row>
    <row r="15" spans="1:4">
      <c r="A15" s="166" t="s">
        <v>183</v>
      </c>
      <c r="B15" s="89">
        <v>11921</v>
      </c>
      <c r="C15" s="164">
        <v>1.1000000000000001</v>
      </c>
      <c r="D15" s="136"/>
    </row>
    <row r="17" spans="1:1">
      <c r="A17" s="75" t="s">
        <v>86</v>
      </c>
    </row>
    <row r="18" spans="1:1">
      <c r="A18" s="26" t="s">
        <v>184</v>
      </c>
    </row>
  </sheetData>
  <mergeCells count="2">
    <mergeCell ref="A3:A4"/>
    <mergeCell ref="B3:C3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zoomScaleNormal="100" workbookViewId="0">
      <selection activeCell="B7" sqref="B7"/>
    </sheetView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2" t="s">
        <v>136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6"/>
    </row>
    <row r="3" spans="1:23" ht="54.95" customHeight="1">
      <c r="A3" s="7"/>
      <c r="B3" s="91" t="s">
        <v>106</v>
      </c>
      <c r="C3" s="76" t="s">
        <v>113</v>
      </c>
      <c r="D3" s="19" t="s">
        <v>103</v>
      </c>
      <c r="E3" s="77" t="s">
        <v>9</v>
      </c>
      <c r="F3" s="77" t="s">
        <v>23</v>
      </c>
      <c r="G3" s="19" t="s">
        <v>57</v>
      </c>
      <c r="H3" s="19" t="s">
        <v>36</v>
      </c>
      <c r="I3" s="77" t="s">
        <v>10</v>
      </c>
      <c r="J3" s="77" t="s">
        <v>24</v>
      </c>
      <c r="K3" s="19" t="s">
        <v>25</v>
      </c>
      <c r="L3" s="78" t="s">
        <v>26</v>
      </c>
      <c r="M3" s="79" t="s">
        <v>11</v>
      </c>
      <c r="N3" s="78" t="s">
        <v>58</v>
      </c>
      <c r="O3" s="78" t="s">
        <v>101</v>
      </c>
      <c r="P3" s="80" t="s">
        <v>12</v>
      </c>
      <c r="Q3" s="78" t="s">
        <v>52</v>
      </c>
      <c r="R3" s="78" t="s">
        <v>53</v>
      </c>
      <c r="S3" s="78" t="s">
        <v>13</v>
      </c>
      <c r="T3" s="78" t="s">
        <v>14</v>
      </c>
      <c r="U3" s="78" t="s">
        <v>28</v>
      </c>
      <c r="V3" s="78" t="s">
        <v>110</v>
      </c>
    </row>
    <row r="4" spans="1:23" ht="12.95" customHeight="1">
      <c r="A4" s="8"/>
      <c r="B4" s="109"/>
      <c r="C4" s="58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81" t="s">
        <v>19</v>
      </c>
      <c r="B5" s="94">
        <v>44194611.800000004</v>
      </c>
      <c r="C5" s="106">
        <v>5.4399898586732238</v>
      </c>
      <c r="D5" s="106">
        <v>4.7434959028195376</v>
      </c>
      <c r="E5" s="106">
        <v>17.002081235613428</v>
      </c>
      <c r="F5" s="106">
        <v>2.4445683670424265</v>
      </c>
      <c r="G5" s="106">
        <v>1.8151665267031487</v>
      </c>
      <c r="H5" s="106">
        <v>1.8632837046438315</v>
      </c>
      <c r="I5" s="106">
        <v>3.5085046272541303</v>
      </c>
      <c r="J5" s="106">
        <v>1.2340655971097363</v>
      </c>
      <c r="K5" s="106">
        <v>4.7111243095023632</v>
      </c>
      <c r="L5" s="106">
        <v>3.533180938586725</v>
      </c>
      <c r="M5" s="111">
        <v>13.741275582377668</v>
      </c>
      <c r="N5" s="111">
        <v>9.5618292092340553</v>
      </c>
      <c r="O5" s="111">
        <v>2.3291142473617104</v>
      </c>
      <c r="P5" s="111">
        <v>5.1592108339324749</v>
      </c>
      <c r="Q5" s="111">
        <v>10.860324153814604</v>
      </c>
      <c r="R5" s="111">
        <v>2.9564938954843365</v>
      </c>
      <c r="S5" s="111">
        <v>1.3551301292344422</v>
      </c>
      <c r="T5" s="111">
        <v>5.9211530397468044</v>
      </c>
      <c r="U5" s="111">
        <v>0.62066525494404257</v>
      </c>
      <c r="V5" s="111">
        <v>7.1179991674912708</v>
      </c>
      <c r="W5" s="96"/>
    </row>
    <row r="6" spans="1:23" ht="12.95" customHeight="1">
      <c r="A6" s="10"/>
      <c r="B6" s="110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1"/>
      <c r="N6" s="111"/>
      <c r="O6" s="112"/>
      <c r="P6" s="107"/>
      <c r="Q6" s="107"/>
      <c r="R6" s="107"/>
      <c r="S6" s="107"/>
      <c r="T6" s="107"/>
      <c r="U6" s="107"/>
      <c r="V6" s="107"/>
      <c r="W6" s="96"/>
    </row>
    <row r="7" spans="1:23" ht="12.95" customHeight="1">
      <c r="A7" s="11" t="s">
        <v>15</v>
      </c>
      <c r="B7" s="94">
        <v>32543500.949999999</v>
      </c>
      <c r="C7" s="106">
        <v>2.0783227995020002</v>
      </c>
      <c r="D7" s="106">
        <v>1.8550493412725468</v>
      </c>
      <c r="E7" s="106">
        <v>16.780021634396402</v>
      </c>
      <c r="F7" s="106">
        <v>2.4694402155278867</v>
      </c>
      <c r="G7" s="106">
        <v>1.9022741313269802</v>
      </c>
      <c r="H7" s="106">
        <v>2.2393257600639309</v>
      </c>
      <c r="I7" s="106">
        <v>3.855780611704593</v>
      </c>
      <c r="J7" s="106">
        <v>1.3477483589546011</v>
      </c>
      <c r="K7" s="106">
        <v>4.8146940380119121</v>
      </c>
      <c r="L7" s="106">
        <v>4.1324078871114809</v>
      </c>
      <c r="M7" s="111">
        <v>13.890257556939339</v>
      </c>
      <c r="N7" s="111">
        <v>9.7437703610065967</v>
      </c>
      <c r="O7" s="111">
        <v>2.6766643863496187</v>
      </c>
      <c r="P7" s="111">
        <v>5.3095393843912797</v>
      </c>
      <c r="Q7" s="111">
        <v>9.9602101967459014</v>
      </c>
      <c r="R7" s="111">
        <v>3.2331383203564035</v>
      </c>
      <c r="S7" s="111">
        <v>1.6004046423898965</v>
      </c>
      <c r="T7" s="111">
        <v>6.4479823582102966</v>
      </c>
      <c r="U7" s="111">
        <v>0.685366335793691</v>
      </c>
      <c r="V7" s="111">
        <v>7.7059617951153454</v>
      </c>
      <c r="W7" s="96"/>
    </row>
    <row r="8" spans="1:23" ht="12.95" customHeight="1">
      <c r="A8" s="12" t="s">
        <v>91</v>
      </c>
      <c r="B8" s="95">
        <v>14041313.1</v>
      </c>
      <c r="C8" s="108">
        <v>1.1487458391622931</v>
      </c>
      <c r="D8" s="108">
        <v>1.1487458391622931</v>
      </c>
      <c r="E8" s="108">
        <v>15.973548086467783</v>
      </c>
      <c r="F8" s="108">
        <v>2.2448035860691689</v>
      </c>
      <c r="G8" s="108">
        <v>1.6451210677725003</v>
      </c>
      <c r="H8" s="108">
        <v>2.1719977172220455</v>
      </c>
      <c r="I8" s="108">
        <v>3.5637122855696455</v>
      </c>
      <c r="J8" s="108">
        <v>1.3613235360445028</v>
      </c>
      <c r="K8" s="108">
        <v>4.0477339686984122</v>
      </c>
      <c r="L8" s="108">
        <v>3.8573101827634626</v>
      </c>
      <c r="M8" s="113">
        <v>15.100952346116404</v>
      </c>
      <c r="N8" s="113">
        <v>9.0581214943494146</v>
      </c>
      <c r="O8" s="113">
        <v>2.5513368831580285</v>
      </c>
      <c r="P8" s="113">
        <v>5.4389535690931936</v>
      </c>
      <c r="Q8" s="113">
        <v>10.232002447121561</v>
      </c>
      <c r="R8" s="113">
        <v>3.4885469507833995</v>
      </c>
      <c r="S8" s="113">
        <v>1.5260524316632467</v>
      </c>
      <c r="T8" s="113">
        <v>6.0213998076860777</v>
      </c>
      <c r="U8" s="113">
        <v>0.61655914502754017</v>
      </c>
      <c r="V8" s="113">
        <v>10.948708920962671</v>
      </c>
      <c r="W8" s="96"/>
    </row>
    <row r="9" spans="1:23" ht="12.95" customHeight="1">
      <c r="A9" s="13" t="s">
        <v>92</v>
      </c>
      <c r="B9" s="95">
        <v>12806408.75</v>
      </c>
      <c r="C9" s="108">
        <v>1.5587820434046351</v>
      </c>
      <c r="D9" s="108">
        <v>1.1902243866767097</v>
      </c>
      <c r="E9" s="108">
        <v>17.613581949740592</v>
      </c>
      <c r="F9" s="108">
        <v>2.7725001359182762</v>
      </c>
      <c r="G9" s="108">
        <v>2.048668015535581</v>
      </c>
      <c r="H9" s="108">
        <v>2.3987911521252983</v>
      </c>
      <c r="I9" s="108">
        <v>4.2726420082445049</v>
      </c>
      <c r="J9" s="108">
        <v>1.2512532055483547</v>
      </c>
      <c r="K9" s="108">
        <v>5.2240406585491819</v>
      </c>
      <c r="L9" s="108">
        <v>4.2520804280903493</v>
      </c>
      <c r="M9" s="113">
        <v>13.857252526005778</v>
      </c>
      <c r="N9" s="113">
        <v>11.607091644642376</v>
      </c>
      <c r="O9" s="113">
        <v>2.9658345865307476</v>
      </c>
      <c r="P9" s="113">
        <v>5.5733415505732626</v>
      </c>
      <c r="Q9" s="113">
        <v>10.279655488897308</v>
      </c>
      <c r="R9" s="113">
        <v>3.5027915222524824</v>
      </c>
      <c r="S9" s="113">
        <v>1.7249964788137817</v>
      </c>
      <c r="T9" s="113">
        <v>7.0516568511058972</v>
      </c>
      <c r="U9" s="113">
        <v>0.74675033310958472</v>
      </c>
      <c r="V9" s="113">
        <v>1.9192402397744803</v>
      </c>
      <c r="W9" s="96"/>
    </row>
    <row r="10" spans="1:23" ht="12.95" customHeight="1">
      <c r="A10" s="13" t="s">
        <v>38</v>
      </c>
      <c r="B10" s="95">
        <v>979717.89999999991</v>
      </c>
      <c r="C10" s="108">
        <v>0.52280355396180889</v>
      </c>
      <c r="D10" s="108">
        <v>0.52280355396180889</v>
      </c>
      <c r="E10" s="108">
        <v>18.076723922263746</v>
      </c>
      <c r="F10" s="108">
        <v>2.254118251794726</v>
      </c>
      <c r="G10" s="108">
        <v>2.0685444248798555</v>
      </c>
      <c r="H10" s="108">
        <v>2.374050734400178</v>
      </c>
      <c r="I10" s="108">
        <v>3.5167266005857405</v>
      </c>
      <c r="J10" s="108">
        <v>4.3237854488521661</v>
      </c>
      <c r="K10" s="108">
        <v>7.6135181361900202</v>
      </c>
      <c r="L10" s="108">
        <v>3.640721477070084</v>
      </c>
      <c r="M10" s="113">
        <v>5.8320767641379216</v>
      </c>
      <c r="N10" s="113">
        <v>7.4812147455915632</v>
      </c>
      <c r="O10" s="113">
        <v>2.0317379114947274</v>
      </c>
      <c r="P10" s="113">
        <v>4.6012020398933204</v>
      </c>
      <c r="Q10" s="113">
        <v>10.015056374901389</v>
      </c>
      <c r="R10" s="113">
        <v>2.8753378906315792</v>
      </c>
      <c r="S10" s="113">
        <v>1.7598024900841354</v>
      </c>
      <c r="T10" s="113">
        <v>6.4023327531323053</v>
      </c>
      <c r="U10" s="113">
        <v>0.99049940804388703</v>
      </c>
      <c r="V10" s="113">
        <v>16.620263853503136</v>
      </c>
      <c r="W10" s="96"/>
    </row>
    <row r="11" spans="1:23" ht="12.95" customHeight="1">
      <c r="A11" s="12" t="s">
        <v>31</v>
      </c>
      <c r="B11" s="95">
        <v>1227698</v>
      </c>
      <c r="C11" s="108">
        <v>4.8709047339003567E-2</v>
      </c>
      <c r="D11" s="108">
        <v>4.8709047339003567E-2</v>
      </c>
      <c r="E11" s="108">
        <v>26.456066557084881</v>
      </c>
      <c r="F11" s="108">
        <v>4.1962437016269476</v>
      </c>
      <c r="G11" s="108">
        <v>2.5539016924357614</v>
      </c>
      <c r="H11" s="108">
        <v>1.8446718981378156</v>
      </c>
      <c r="I11" s="108">
        <v>1.4720232500175126</v>
      </c>
      <c r="J11" s="108">
        <v>0.36145697068823118</v>
      </c>
      <c r="K11" s="108">
        <v>7.1336761972406899</v>
      </c>
      <c r="L11" s="108">
        <v>10.470001580193173</v>
      </c>
      <c r="M11" s="113">
        <v>7.0554240537982471</v>
      </c>
      <c r="N11" s="113">
        <v>4.4387626272910765</v>
      </c>
      <c r="O11" s="113">
        <v>2.7918510904147436</v>
      </c>
      <c r="P11" s="113">
        <v>2.9710238185612421</v>
      </c>
      <c r="Q11" s="113">
        <v>13.460256512595116</v>
      </c>
      <c r="R11" s="113">
        <v>2.915814801359943</v>
      </c>
      <c r="S11" s="113">
        <v>1.76360147202325</v>
      </c>
      <c r="T11" s="113">
        <v>7.1134187723691005</v>
      </c>
      <c r="U11" s="113">
        <v>1.0508121704197613</v>
      </c>
      <c r="V11" s="113">
        <v>2.2164489964144276</v>
      </c>
      <c r="W11" s="96"/>
    </row>
    <row r="12" spans="1:23" ht="12.95" customHeight="1">
      <c r="A12" s="12" t="s">
        <v>32</v>
      </c>
      <c r="B12" s="95">
        <v>347628</v>
      </c>
      <c r="C12" s="108">
        <v>0</v>
      </c>
      <c r="D12" s="108">
        <v>0</v>
      </c>
      <c r="E12" s="108">
        <v>24.532287387667278</v>
      </c>
      <c r="F12" s="108">
        <v>2.9711645782273002</v>
      </c>
      <c r="G12" s="108">
        <v>0</v>
      </c>
      <c r="H12" s="108">
        <v>3.8210385814721484</v>
      </c>
      <c r="I12" s="108">
        <v>5.8401509659751225</v>
      </c>
      <c r="J12" s="108">
        <v>5.223917521028226</v>
      </c>
      <c r="K12" s="108">
        <v>4.3983798773401448</v>
      </c>
      <c r="L12" s="108">
        <v>6.207842866512479</v>
      </c>
      <c r="M12" s="113">
        <v>7.9085689300056385</v>
      </c>
      <c r="N12" s="113">
        <v>4.9970658289896086</v>
      </c>
      <c r="O12" s="113">
        <v>4.0678253765519461</v>
      </c>
      <c r="P12" s="113">
        <v>9.2944181711484705E-2</v>
      </c>
      <c r="Q12" s="113">
        <v>11.508652927842407</v>
      </c>
      <c r="R12" s="113">
        <v>0.55772262303381781</v>
      </c>
      <c r="S12" s="113">
        <v>1.3280863451735763</v>
      </c>
      <c r="T12" s="113">
        <v>9.438595280011965</v>
      </c>
      <c r="U12" s="113">
        <v>0.70604209097080806</v>
      </c>
      <c r="V12" s="113">
        <v>7.195737972775496</v>
      </c>
      <c r="W12" s="96"/>
    </row>
    <row r="13" spans="1:23" ht="12.95" customHeight="1">
      <c r="A13" s="12" t="s">
        <v>33</v>
      </c>
      <c r="B13" s="95">
        <v>97354</v>
      </c>
      <c r="C13" s="108">
        <v>99.980483595948812</v>
      </c>
      <c r="D13" s="108">
        <v>99.980483595948812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1.9516404051194609E-2</v>
      </c>
      <c r="K13" s="108">
        <v>0</v>
      </c>
      <c r="L13" s="108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0</v>
      </c>
      <c r="R13" s="113">
        <v>0</v>
      </c>
      <c r="S13" s="113">
        <v>0</v>
      </c>
      <c r="T13" s="113">
        <v>0</v>
      </c>
      <c r="U13" s="113">
        <v>0</v>
      </c>
      <c r="V13" s="113">
        <v>0</v>
      </c>
      <c r="W13" s="96"/>
    </row>
    <row r="14" spans="1:23" ht="12.95" customHeight="1">
      <c r="A14" s="13" t="s">
        <v>93</v>
      </c>
      <c r="B14" s="95">
        <v>1080929.2000000002</v>
      </c>
      <c r="C14" s="108">
        <v>0.32740349691728188</v>
      </c>
      <c r="D14" s="108">
        <v>0.32740349691728188</v>
      </c>
      <c r="E14" s="108">
        <v>7.4851340864878093</v>
      </c>
      <c r="F14" s="108">
        <v>1.8562825391339228</v>
      </c>
      <c r="G14" s="108">
        <v>5.3165276689722134</v>
      </c>
      <c r="H14" s="108">
        <v>1.1232002984099234</v>
      </c>
      <c r="I14" s="108">
        <v>7.5031741209322487</v>
      </c>
      <c r="J14" s="108">
        <v>1.7972222417527435</v>
      </c>
      <c r="K14" s="108">
        <v>7.030710244482246</v>
      </c>
      <c r="L14" s="108">
        <v>3.1478842462577559</v>
      </c>
      <c r="M14" s="113">
        <v>8.9945946506024619</v>
      </c>
      <c r="N14" s="113">
        <v>12.6308642601199</v>
      </c>
      <c r="O14" s="113">
        <v>2.155710105712751</v>
      </c>
      <c r="P14" s="113">
        <v>12.801402719067999</v>
      </c>
      <c r="Q14" s="113">
        <v>2.7846319629444736</v>
      </c>
      <c r="R14" s="113">
        <v>1.9308387635378892</v>
      </c>
      <c r="S14" s="113">
        <v>1.5100896524952789</v>
      </c>
      <c r="T14" s="113">
        <v>6.1353509554557313</v>
      </c>
      <c r="U14" s="113">
        <v>0.42888100349218061</v>
      </c>
      <c r="V14" s="113">
        <v>15.074872618854222</v>
      </c>
      <c r="W14" s="96"/>
    </row>
    <row r="15" spans="1:23" ht="12.95" customHeight="1">
      <c r="A15" s="13" t="s">
        <v>37</v>
      </c>
      <c r="B15" s="95">
        <v>258502</v>
      </c>
      <c r="C15" s="108">
        <v>1.5183634942863111</v>
      </c>
      <c r="D15" s="108">
        <v>1.2614989439153275</v>
      </c>
      <c r="E15" s="108">
        <v>51.72261723313553</v>
      </c>
      <c r="F15" s="108">
        <v>0</v>
      </c>
      <c r="G15" s="108">
        <v>0</v>
      </c>
      <c r="H15" s="108">
        <v>5.7388337420987074</v>
      </c>
      <c r="I15" s="108">
        <v>2.9222211046723041</v>
      </c>
      <c r="J15" s="108">
        <v>6.8858268021137162E-2</v>
      </c>
      <c r="K15" s="108">
        <v>4.551995729240006</v>
      </c>
      <c r="L15" s="108">
        <v>0</v>
      </c>
      <c r="M15" s="113">
        <v>10.353382178861283</v>
      </c>
      <c r="N15" s="113">
        <v>2.0403323765386729</v>
      </c>
      <c r="O15" s="113">
        <v>0.31837277854716789</v>
      </c>
      <c r="P15" s="113">
        <v>0</v>
      </c>
      <c r="Q15" s="113">
        <v>11.737201259564722</v>
      </c>
      <c r="R15" s="113">
        <v>1.9449365962352323</v>
      </c>
      <c r="S15" s="113">
        <v>2.0045879722400599</v>
      </c>
      <c r="T15" s="113">
        <v>4.1928882561837044</v>
      </c>
      <c r="U15" s="113">
        <v>1.3585194698687051</v>
      </c>
      <c r="V15" s="113">
        <v>0</v>
      </c>
      <c r="W15" s="96"/>
    </row>
    <row r="16" spans="1:23" ht="12.95" customHeight="1">
      <c r="A16" s="12" t="s">
        <v>34</v>
      </c>
      <c r="B16" s="95">
        <v>444967.60000000003</v>
      </c>
      <c r="C16" s="108">
        <v>14.459704481854407</v>
      </c>
      <c r="D16" s="108">
        <v>8.8867144484227616</v>
      </c>
      <c r="E16" s="108">
        <v>1.1441057730944904</v>
      </c>
      <c r="F16" s="108">
        <v>0.42546918022795366</v>
      </c>
      <c r="G16" s="108">
        <v>0</v>
      </c>
      <c r="H16" s="108">
        <v>2.8285205484624045</v>
      </c>
      <c r="I16" s="108">
        <v>6.2925929887928918E-3</v>
      </c>
      <c r="J16" s="108">
        <v>0.28469488565010126</v>
      </c>
      <c r="K16" s="108">
        <v>2.6518784738484329E-2</v>
      </c>
      <c r="L16" s="108">
        <v>0.77439346145651944</v>
      </c>
      <c r="M16" s="113">
        <v>1.1313632722921847</v>
      </c>
      <c r="N16" s="113">
        <v>5.2801597239888922</v>
      </c>
      <c r="O16" s="113">
        <v>1.6987978450565837</v>
      </c>
      <c r="P16" s="113">
        <v>0.376589216832866</v>
      </c>
      <c r="Q16" s="113">
        <v>1.7025958743962477</v>
      </c>
      <c r="R16" s="113">
        <v>0</v>
      </c>
      <c r="S16" s="113">
        <v>0.72845753263833124</v>
      </c>
      <c r="T16" s="113">
        <v>0.82331837194438418</v>
      </c>
      <c r="U16" s="113">
        <v>0.23936574258440391</v>
      </c>
      <c r="V16" s="113">
        <v>74.110429613302188</v>
      </c>
      <c r="W16" s="96"/>
    </row>
    <row r="17" spans="1:23" ht="12.95" customHeight="1">
      <c r="A17" s="14" t="s">
        <v>94</v>
      </c>
      <c r="B17" s="95">
        <v>207045.69999999998</v>
      </c>
      <c r="C17" s="108">
        <v>32.570587073288657</v>
      </c>
      <c r="D17" s="108">
        <v>32.570587073288657</v>
      </c>
      <c r="E17" s="108">
        <v>9.0878487213209453</v>
      </c>
      <c r="F17" s="108">
        <v>1.613605112301294</v>
      </c>
      <c r="G17" s="108">
        <v>0.63314524281354312</v>
      </c>
      <c r="H17" s="108">
        <v>0.77470819244253808</v>
      </c>
      <c r="I17" s="108">
        <v>1.4069357634570534</v>
      </c>
      <c r="J17" s="108">
        <v>0.17387465665792626</v>
      </c>
      <c r="K17" s="108">
        <v>8.5087495176185755</v>
      </c>
      <c r="L17" s="108">
        <v>0.6644909795277083</v>
      </c>
      <c r="M17" s="113">
        <v>15.828631070338579</v>
      </c>
      <c r="N17" s="113">
        <v>7.169866362836804</v>
      </c>
      <c r="O17" s="113">
        <v>2.9265036656158521</v>
      </c>
      <c r="P17" s="113">
        <v>1.1621588856952836</v>
      </c>
      <c r="Q17" s="113">
        <v>4.9048591687728846</v>
      </c>
      <c r="R17" s="113">
        <v>1.3949094330382135</v>
      </c>
      <c r="S17" s="113">
        <v>0.90994403650981415</v>
      </c>
      <c r="T17" s="113">
        <v>9.9914173537533024</v>
      </c>
      <c r="U17" s="113">
        <v>0.34745952222142273</v>
      </c>
      <c r="V17" s="113">
        <v>1.593851019364324E-3</v>
      </c>
      <c r="W17" s="96"/>
    </row>
    <row r="18" spans="1:23" ht="12.95" customHeight="1">
      <c r="A18" s="14" t="s">
        <v>35</v>
      </c>
      <c r="B18" s="95">
        <v>43352.6</v>
      </c>
      <c r="C18" s="108">
        <v>0</v>
      </c>
      <c r="D18" s="108">
        <v>0</v>
      </c>
      <c r="E18" s="108">
        <v>77.897288743927703</v>
      </c>
      <c r="F18" s="108">
        <v>0</v>
      </c>
      <c r="G18" s="108">
        <v>2.2033280587554152</v>
      </c>
      <c r="H18" s="108">
        <v>2.5304134008110242</v>
      </c>
      <c r="I18" s="108">
        <v>0</v>
      </c>
      <c r="J18" s="108">
        <v>0</v>
      </c>
      <c r="K18" s="108">
        <v>7.7988402079690724</v>
      </c>
      <c r="L18" s="108">
        <v>0</v>
      </c>
      <c r="M18" s="113">
        <v>0</v>
      </c>
      <c r="N18" s="113">
        <v>0.6460973505625961</v>
      </c>
      <c r="O18" s="113">
        <v>1.7154680457458147</v>
      </c>
      <c r="P18" s="113">
        <v>0.24496800653248019</v>
      </c>
      <c r="Q18" s="113">
        <v>0</v>
      </c>
      <c r="R18" s="113">
        <v>1.3840000369066676E-2</v>
      </c>
      <c r="S18" s="113">
        <v>0.25834667355591129</v>
      </c>
      <c r="T18" s="113">
        <v>5.7346041529227776</v>
      </c>
      <c r="U18" s="113">
        <v>0.99278935980771632</v>
      </c>
      <c r="V18" s="113">
        <v>9.20360024542934E-2</v>
      </c>
      <c r="W18" s="96"/>
    </row>
    <row r="19" spans="1:23" ht="12.95" customHeight="1">
      <c r="A19" s="14" t="s">
        <v>100</v>
      </c>
      <c r="B19" s="95">
        <v>991796.10000000009</v>
      </c>
      <c r="C19" s="108">
        <v>7.3744996577421498</v>
      </c>
      <c r="D19" s="108">
        <v>7.3744996577421498</v>
      </c>
      <c r="E19" s="108">
        <v>10.362039132841918</v>
      </c>
      <c r="F19" s="108">
        <v>2.4355510169882697</v>
      </c>
      <c r="G19" s="108">
        <v>1.4473841951989928</v>
      </c>
      <c r="H19" s="108">
        <v>1.5252126924072396</v>
      </c>
      <c r="I19" s="108">
        <v>4.3169155434267177</v>
      </c>
      <c r="J19" s="108">
        <v>0.1015732971726749</v>
      </c>
      <c r="K19" s="108">
        <v>4.3519025735229242</v>
      </c>
      <c r="L19" s="108">
        <v>3.4318949227568041</v>
      </c>
      <c r="M19" s="113">
        <v>29.476068720173426</v>
      </c>
      <c r="N19" s="113">
        <v>8.7767636916499256</v>
      </c>
      <c r="O19" s="113">
        <v>2.6430634280574403</v>
      </c>
      <c r="P19" s="113">
        <v>2.6240575053682909</v>
      </c>
      <c r="Q19" s="113">
        <v>10.757140504988877</v>
      </c>
      <c r="R19" s="113">
        <v>1.9215239906670329</v>
      </c>
      <c r="S19" s="113">
        <v>1.5515185026438396</v>
      </c>
      <c r="T19" s="113">
        <v>6.3511441515045277</v>
      </c>
      <c r="U19" s="113">
        <v>0.54601948928817112</v>
      </c>
      <c r="V19" s="113">
        <v>5.7269836007622929E-3</v>
      </c>
      <c r="W19" s="96"/>
    </row>
    <row r="20" spans="1:23" ht="12.95" customHeight="1">
      <c r="A20" s="10" t="s">
        <v>39</v>
      </c>
      <c r="B20" s="95">
        <v>16788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3">
        <v>0</v>
      </c>
      <c r="N20" s="113">
        <v>0</v>
      </c>
      <c r="O20" s="113">
        <v>0</v>
      </c>
      <c r="P20" s="113">
        <v>0</v>
      </c>
      <c r="Q20" s="113">
        <v>0</v>
      </c>
      <c r="R20" s="113">
        <v>0</v>
      </c>
      <c r="S20" s="113">
        <v>0</v>
      </c>
      <c r="T20" s="113">
        <v>0</v>
      </c>
      <c r="U20" s="113">
        <v>0</v>
      </c>
      <c r="V20" s="113">
        <v>100</v>
      </c>
      <c r="W20" s="96"/>
    </row>
    <row r="21" spans="1:23" ht="15" customHeight="1">
      <c r="A21" s="11" t="s">
        <v>95</v>
      </c>
      <c r="B21" s="94">
        <v>9142265.7999999989</v>
      </c>
      <c r="C21" s="106">
        <v>2.7314169754285644</v>
      </c>
      <c r="D21" s="106">
        <v>2.7314169754285644</v>
      </c>
      <c r="E21" s="106">
        <v>18.863255977528024</v>
      </c>
      <c r="F21" s="106">
        <v>2.9635202686843787</v>
      </c>
      <c r="G21" s="106">
        <v>1.9895078963904114</v>
      </c>
      <c r="H21" s="106">
        <v>1.0328074250477384</v>
      </c>
      <c r="I21" s="106">
        <v>3.1295633517896628</v>
      </c>
      <c r="J21" s="106">
        <v>1.1485981954276587</v>
      </c>
      <c r="K21" s="106">
        <v>5.5498506726855394</v>
      </c>
      <c r="L21" s="106">
        <v>2.3697123310503625</v>
      </c>
      <c r="M21" s="111">
        <v>16.160920414280675</v>
      </c>
      <c r="N21" s="111">
        <v>11.37009602149174</v>
      </c>
      <c r="O21" s="111">
        <v>1.6982168687329133</v>
      </c>
      <c r="P21" s="111">
        <v>5.8053343843929799</v>
      </c>
      <c r="Q21" s="111">
        <v>16.200387654447766</v>
      </c>
      <c r="R21" s="111">
        <v>2.7218777647003005</v>
      </c>
      <c r="S21" s="111">
        <v>0.81403890050976224</v>
      </c>
      <c r="T21" s="111">
        <v>4.750767583239595</v>
      </c>
      <c r="U21" s="111">
        <v>0.53124357858858151</v>
      </c>
      <c r="V21" s="111">
        <v>0.16888373558336056</v>
      </c>
      <c r="W21" s="96"/>
    </row>
    <row r="22" spans="1:23" ht="15" customHeight="1">
      <c r="A22" s="15" t="s">
        <v>16</v>
      </c>
      <c r="B22" s="94">
        <v>633758.35000000009</v>
      </c>
      <c r="C22" s="106">
        <v>0</v>
      </c>
      <c r="D22" s="106">
        <v>0</v>
      </c>
      <c r="E22" s="106">
        <v>4.1920078843931607</v>
      </c>
      <c r="F22" s="106">
        <v>0</v>
      </c>
      <c r="G22" s="106">
        <v>0</v>
      </c>
      <c r="H22" s="106">
        <v>0</v>
      </c>
      <c r="I22" s="106">
        <v>0</v>
      </c>
      <c r="J22" s="106">
        <v>8.0409196975471789E-2</v>
      </c>
      <c r="K22" s="106">
        <v>0</v>
      </c>
      <c r="L22" s="106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2.3557875016557966E-2</v>
      </c>
      <c r="T22" s="111">
        <v>0</v>
      </c>
      <c r="U22" s="111">
        <v>0</v>
      </c>
      <c r="V22" s="111">
        <v>95.704025043614791</v>
      </c>
      <c r="W22" s="96"/>
    </row>
    <row r="23" spans="1:23" ht="15" customHeight="1">
      <c r="A23" s="15" t="s">
        <v>17</v>
      </c>
      <c r="B23" s="94">
        <v>1875086.7</v>
      </c>
      <c r="C23" s="106">
        <v>78.828888285539009</v>
      </c>
      <c r="D23" s="106">
        <v>66.288038841083988</v>
      </c>
      <c r="E23" s="106">
        <v>16.111313679522123</v>
      </c>
      <c r="F23" s="106">
        <v>0.30890838274304866</v>
      </c>
      <c r="G23" s="106">
        <v>6.6828909831209399E-2</v>
      </c>
      <c r="H23" s="106">
        <v>1.5679274990324447E-2</v>
      </c>
      <c r="I23" s="106">
        <v>0.51469620044769127</v>
      </c>
      <c r="J23" s="106">
        <v>6.7650205187845452E-2</v>
      </c>
      <c r="K23" s="106">
        <v>0.41656740458987845</v>
      </c>
      <c r="L23" s="106">
        <v>0</v>
      </c>
      <c r="M23" s="111">
        <v>4.0026415845197985</v>
      </c>
      <c r="N23" s="111">
        <v>0.81942344319332006</v>
      </c>
      <c r="O23" s="111">
        <v>0.16037658418674722</v>
      </c>
      <c r="P23" s="111">
        <v>1.1436324517687635</v>
      </c>
      <c r="Q23" s="111">
        <v>4.1168496368727912</v>
      </c>
      <c r="R23" s="111">
        <v>0.29829554014755694</v>
      </c>
      <c r="S23" s="111">
        <v>0.18643937904311306</v>
      </c>
      <c r="T23" s="111">
        <v>4.4853179322321468</v>
      </c>
      <c r="U23" s="111">
        <v>0.14349736468185711</v>
      </c>
      <c r="V23" s="111">
        <v>0.85384318495779421</v>
      </c>
      <c r="W23" s="96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90"/>
    </row>
    <row r="25" spans="1:23" s="9" customFormat="1" ht="9" customHeight="1"/>
    <row r="26" spans="1:23" s="9" customFormat="1" ht="9" customHeight="1">
      <c r="A26" s="18" t="s">
        <v>20</v>
      </c>
    </row>
    <row r="27" spans="1:23" ht="11.1" customHeight="1">
      <c r="A27" s="18" t="s">
        <v>50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5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zoomScaleNormal="100" workbookViewId="0">
      <selection activeCell="B34" sqref="B34"/>
    </sheetView>
  </sheetViews>
  <sheetFormatPr baseColWidth="10" defaultColWidth="11.42578125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2" t="s">
        <v>137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6"/>
      <c r="M2" s="35"/>
      <c r="N2" s="35"/>
      <c r="O2" s="35"/>
      <c r="P2" s="35"/>
      <c r="Q2" s="35"/>
      <c r="R2" s="35"/>
      <c r="S2" s="35"/>
      <c r="T2" s="35"/>
      <c r="U2" s="35"/>
    </row>
    <row r="3" spans="1:22" ht="54.95" customHeight="1">
      <c r="A3" s="29"/>
      <c r="B3" s="50" t="s">
        <v>0</v>
      </c>
      <c r="C3" s="49" t="s">
        <v>102</v>
      </c>
      <c r="D3" s="78" t="s">
        <v>103</v>
      </c>
      <c r="E3" s="77" t="s">
        <v>9</v>
      </c>
      <c r="F3" s="77" t="s">
        <v>23</v>
      </c>
      <c r="G3" s="19" t="s">
        <v>57</v>
      </c>
      <c r="H3" s="19" t="s">
        <v>36</v>
      </c>
      <c r="I3" s="77" t="s">
        <v>10</v>
      </c>
      <c r="J3" s="77" t="s">
        <v>24</v>
      </c>
      <c r="K3" s="19" t="s">
        <v>25</v>
      </c>
      <c r="L3" s="78" t="s">
        <v>26</v>
      </c>
      <c r="M3" s="79" t="s">
        <v>11</v>
      </c>
      <c r="N3" s="78" t="s">
        <v>58</v>
      </c>
      <c r="O3" s="78" t="s">
        <v>101</v>
      </c>
      <c r="P3" s="80" t="s">
        <v>12</v>
      </c>
      <c r="Q3" s="78" t="s">
        <v>52</v>
      </c>
      <c r="R3" s="78" t="s">
        <v>53</v>
      </c>
      <c r="S3" s="78" t="s">
        <v>13</v>
      </c>
      <c r="T3" s="78" t="s">
        <v>14</v>
      </c>
      <c r="U3" s="78" t="s">
        <v>28</v>
      </c>
      <c r="V3" s="78" t="s">
        <v>114</v>
      </c>
    </row>
    <row r="4" spans="1:22" ht="12" customHeight="1">
      <c r="A4" s="8"/>
    </row>
    <row r="5" spans="1:22" ht="12" customHeight="1">
      <c r="A5" s="81" t="s">
        <v>19</v>
      </c>
      <c r="B5" s="106">
        <v>100.00000000000001</v>
      </c>
      <c r="C5" s="106">
        <v>100</v>
      </c>
      <c r="D5" s="106">
        <v>100</v>
      </c>
      <c r="E5" s="106">
        <v>100.00000000000001</v>
      </c>
      <c r="F5" s="106">
        <v>100.00000000000004</v>
      </c>
      <c r="G5" s="106">
        <v>100.00000000000001</v>
      </c>
      <c r="H5" s="106">
        <v>100.00000000000001</v>
      </c>
      <c r="I5" s="106">
        <v>100</v>
      </c>
      <c r="J5" s="106">
        <v>99.999999999999986</v>
      </c>
      <c r="K5" s="106">
        <v>100.00000000000001</v>
      </c>
      <c r="L5" s="106">
        <v>100.00000000000003</v>
      </c>
      <c r="M5" s="114">
        <v>100</v>
      </c>
      <c r="N5" s="114">
        <v>99.999999999999957</v>
      </c>
      <c r="O5" s="114">
        <v>100.00000000000003</v>
      </c>
      <c r="P5" s="114">
        <v>100</v>
      </c>
      <c r="Q5" s="114">
        <v>100</v>
      </c>
      <c r="R5" s="114">
        <v>99.999999999999986</v>
      </c>
      <c r="S5" s="114">
        <v>99.999999999999986</v>
      </c>
      <c r="T5" s="114">
        <v>100.00000000000001</v>
      </c>
      <c r="U5" s="114">
        <v>100.00000000000001</v>
      </c>
      <c r="V5" s="114">
        <v>100.00000000000006</v>
      </c>
    </row>
    <row r="6" spans="1:22" ht="12" customHeight="1">
      <c r="A6" s="10"/>
      <c r="B6" s="71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15"/>
      <c r="N6" s="115"/>
      <c r="O6" s="115"/>
      <c r="P6" s="115"/>
      <c r="Q6" s="115"/>
      <c r="R6" s="115"/>
      <c r="S6" s="115"/>
      <c r="T6" s="115"/>
      <c r="U6" s="115"/>
      <c r="V6" s="115"/>
    </row>
    <row r="7" spans="1:22" ht="12" customHeight="1">
      <c r="A7" s="11" t="s">
        <v>15</v>
      </c>
      <c r="B7" s="106">
        <v>73.636806896898705</v>
      </c>
      <c r="C7" s="106">
        <v>28.132599257028087</v>
      </c>
      <c r="D7" s="106">
        <v>28.797307497685519</v>
      </c>
      <c r="E7" s="106">
        <v>72.675056406013539</v>
      </c>
      <c r="F7" s="106">
        <v>74.38601216715611</v>
      </c>
      <c r="G7" s="106">
        <v>77.170546510633571</v>
      </c>
      <c r="H7" s="106">
        <v>88.497955604994004</v>
      </c>
      <c r="I7" s="106">
        <v>80.925466118911103</v>
      </c>
      <c r="J7" s="106">
        <v>80.420267679763384</v>
      </c>
      <c r="K7" s="106">
        <v>75.255644269378777</v>
      </c>
      <c r="L7" s="106">
        <v>86.125598120137155</v>
      </c>
      <c r="M7" s="114">
        <v>74.435172145171947</v>
      </c>
      <c r="N7" s="114">
        <v>75.037957781996639</v>
      </c>
      <c r="O7" s="114">
        <v>84.624882084980442</v>
      </c>
      <c r="P7" s="114">
        <v>75.782428542833259</v>
      </c>
      <c r="Q7" s="114">
        <v>67.533718563334489</v>
      </c>
      <c r="R7" s="114">
        <v>80.527134701912033</v>
      </c>
      <c r="S7" s="114">
        <v>86.964849401689264</v>
      </c>
      <c r="T7" s="114">
        <v>80.188576211238143</v>
      </c>
      <c r="U7" s="114">
        <v>81.313055822699624</v>
      </c>
      <c r="V7" s="114">
        <v>79.719371597198716</v>
      </c>
    </row>
    <row r="8" spans="1:22" ht="12" customHeight="1">
      <c r="A8" s="12" t="s">
        <v>91</v>
      </c>
      <c r="B8" s="108">
        <v>31.77154980689297</v>
      </c>
      <c r="C8" s="108">
        <v>6.7090999418346966</v>
      </c>
      <c r="D8" s="108">
        <v>7.6942062124923005</v>
      </c>
      <c r="E8" s="108">
        <v>29.849544393363235</v>
      </c>
      <c r="F8" s="108">
        <v>29.17524823728963</v>
      </c>
      <c r="G8" s="108">
        <v>28.795179491347479</v>
      </c>
      <c r="H8" s="108">
        <v>37.035548307104925</v>
      </c>
      <c r="I8" s="108">
        <v>32.271487259523916</v>
      </c>
      <c r="J8" s="108">
        <v>35.047860202918827</v>
      </c>
      <c r="K8" s="108">
        <v>27.297683725339546</v>
      </c>
      <c r="L8" s="108">
        <v>34.686228846611506</v>
      </c>
      <c r="M8" s="115">
        <v>34.915292741195259</v>
      </c>
      <c r="N8" s="115">
        <v>30.097855955917407</v>
      </c>
      <c r="O8" s="115">
        <v>34.802898547908718</v>
      </c>
      <c r="P8" s="115">
        <v>33.494266813303952</v>
      </c>
      <c r="Q8" s="115">
        <v>29.933413659553551</v>
      </c>
      <c r="R8" s="115">
        <v>37.489183850434436</v>
      </c>
      <c r="S8" s="115">
        <v>35.778889270146905</v>
      </c>
      <c r="T8" s="115">
        <v>32.309450982421254</v>
      </c>
      <c r="U8" s="115">
        <v>31.561360055355333</v>
      </c>
      <c r="V8" s="115">
        <v>48.870116814883083</v>
      </c>
    </row>
    <row r="9" spans="1:22" ht="12" customHeight="1">
      <c r="A9" s="13" t="s">
        <v>92</v>
      </c>
      <c r="B9" s="108">
        <v>28.977307930556364</v>
      </c>
      <c r="C9" s="108">
        <v>8.3031969620940576</v>
      </c>
      <c r="D9" s="108">
        <v>7.2709029934416138</v>
      </c>
      <c r="E9" s="108">
        <v>30.019512367028614</v>
      </c>
      <c r="F9" s="108">
        <v>32.864529893763006</v>
      </c>
      <c r="G9" s="108">
        <v>32.704924347343294</v>
      </c>
      <c r="H9" s="108">
        <v>37.305381731718541</v>
      </c>
      <c r="I9" s="108">
        <v>35.288442314761667</v>
      </c>
      <c r="J9" s="108">
        <v>29.380893139869503</v>
      </c>
      <c r="K9" s="108">
        <v>32.132167368030302</v>
      </c>
      <c r="L9" s="108">
        <v>34.873346724085863</v>
      </c>
      <c r="M9" s="115">
        <v>29.22187762775874</v>
      </c>
      <c r="N9" s="115">
        <v>35.175515207924583</v>
      </c>
      <c r="O9" s="115">
        <v>36.898963707918554</v>
      </c>
      <c r="P9" s="115">
        <v>31.303321285287808</v>
      </c>
      <c r="Q9" s="115">
        <v>27.427978972173161</v>
      </c>
      <c r="R9" s="115">
        <v>34.331702396505158</v>
      </c>
      <c r="S9" s="115">
        <v>36.88631303176102</v>
      </c>
      <c r="T9" s="115">
        <v>34.509837969641602</v>
      </c>
      <c r="U9" s="115">
        <v>34.863904781834236</v>
      </c>
      <c r="V9" s="115">
        <v>7.8132090369801457</v>
      </c>
    </row>
    <row r="10" spans="1:22" ht="12" customHeight="1">
      <c r="A10" s="13" t="s">
        <v>38</v>
      </c>
      <c r="B10" s="108">
        <v>2.2168265770353472</v>
      </c>
      <c r="C10" s="108">
        <v>0.21304539955038354</v>
      </c>
      <c r="D10" s="108">
        <v>0.24432714536596981</v>
      </c>
      <c r="E10" s="108">
        <v>2.3569445093972408</v>
      </c>
      <c r="F10" s="108">
        <v>2.044119246460117</v>
      </c>
      <c r="G10" s="108">
        <v>2.526271936702527</v>
      </c>
      <c r="H10" s="108">
        <v>2.8245074811377693</v>
      </c>
      <c r="I10" s="108">
        <v>2.2220215791612117</v>
      </c>
      <c r="J10" s="108">
        <v>7.7670769842892406</v>
      </c>
      <c r="K10" s="108">
        <v>3.582552325143268</v>
      </c>
      <c r="L10" s="108">
        <v>2.2843008241691392</v>
      </c>
      <c r="M10" s="115">
        <v>0.94086627493531327</v>
      </c>
      <c r="N10" s="115">
        <v>1.7344542883614851</v>
      </c>
      <c r="O10" s="115">
        <v>1.9337868912500502</v>
      </c>
      <c r="P10" s="115">
        <v>1.9770595342330741</v>
      </c>
      <c r="Q10" s="115">
        <v>2.0442891784763653</v>
      </c>
      <c r="R10" s="115">
        <v>2.1559745019749563</v>
      </c>
      <c r="S10" s="115">
        <v>2.8788208941641633</v>
      </c>
      <c r="T10" s="115">
        <v>2.3969759448701033</v>
      </c>
      <c r="U10" s="115">
        <v>3.5377611277554628</v>
      </c>
      <c r="V10" s="115">
        <v>5.1762077742376835</v>
      </c>
    </row>
    <row r="11" spans="1:22" ht="12" customHeight="1">
      <c r="A11" s="12" t="s">
        <v>31</v>
      </c>
      <c r="B11" s="108">
        <v>2.7779359292844834</v>
      </c>
      <c r="C11" s="108">
        <v>2.4873320759689448E-2</v>
      </c>
      <c r="D11" s="108">
        <v>2.8525504281306121E-2</v>
      </c>
      <c r="E11" s="108">
        <v>4.3226036164634358</v>
      </c>
      <c r="F11" s="108">
        <v>4.7684885004408235</v>
      </c>
      <c r="G11" s="108">
        <v>3.9084982930814012</v>
      </c>
      <c r="H11" s="108">
        <v>2.7501879240434697</v>
      </c>
      <c r="I11" s="108">
        <v>1.1655068781157896</v>
      </c>
      <c r="J11" s="108">
        <v>0.81365553672093671</v>
      </c>
      <c r="K11" s="108">
        <v>4.2064046954196543</v>
      </c>
      <c r="L11" s="108">
        <v>8.2319570027222984</v>
      </c>
      <c r="M11" s="115">
        <v>1.4263243508862662</v>
      </c>
      <c r="N11" s="115">
        <v>1.2895647803465429</v>
      </c>
      <c r="O11" s="115">
        <v>3.3298424334745569</v>
      </c>
      <c r="P11" s="115">
        <v>1.599724081454214</v>
      </c>
      <c r="Q11" s="115">
        <v>3.4429663105948709</v>
      </c>
      <c r="R11" s="115">
        <v>2.7397136561685147</v>
      </c>
      <c r="S11" s="115">
        <v>3.6152778160427248</v>
      </c>
      <c r="T11" s="115">
        <v>3.3372928304950271</v>
      </c>
      <c r="U11" s="115">
        <v>4.7031614221769846</v>
      </c>
      <c r="V11" s="115">
        <v>0.86501180425625901</v>
      </c>
    </row>
    <row r="12" spans="1:22" ht="12" customHeight="1">
      <c r="A12" s="12" t="s">
        <v>32</v>
      </c>
      <c r="B12" s="108">
        <v>0.78658457635779022</v>
      </c>
      <c r="C12" s="108">
        <v>0</v>
      </c>
      <c r="D12" s="108">
        <v>0</v>
      </c>
      <c r="E12" s="108">
        <v>1.1349621622496386</v>
      </c>
      <c r="F12" s="108">
        <v>0.95602653726625442</v>
      </c>
      <c r="G12" s="108">
        <v>0</v>
      </c>
      <c r="H12" s="108">
        <v>1.6130501256267678</v>
      </c>
      <c r="I12" s="108">
        <v>1.309324957918701</v>
      </c>
      <c r="J12" s="108">
        <v>3.3296876274889282</v>
      </c>
      <c r="K12" s="108">
        <v>0.73436775283131439</v>
      </c>
      <c r="L12" s="108">
        <v>1.382038886806813</v>
      </c>
      <c r="M12" s="115">
        <v>0.45270603184631586</v>
      </c>
      <c r="N12" s="115">
        <v>0.41107353228312277</v>
      </c>
      <c r="O12" s="115">
        <v>1.3737791970217899</v>
      </c>
      <c r="P12" s="115">
        <v>1.4170473382403842E-2</v>
      </c>
      <c r="Q12" s="115">
        <v>0.83354131603117321</v>
      </c>
      <c r="R12" s="115">
        <v>0.14838387247619986</v>
      </c>
      <c r="S12" s="115">
        <v>0.7708870260120938</v>
      </c>
      <c r="T12" s="115">
        <v>1.2538526567214552</v>
      </c>
      <c r="U12" s="115">
        <v>0.89478477261806966</v>
      </c>
      <c r="V12" s="115">
        <v>0.79517521310587014</v>
      </c>
    </row>
    <row r="13" spans="1:22" ht="12" customHeight="1">
      <c r="A13" s="12" t="s">
        <v>33</v>
      </c>
      <c r="B13" s="108">
        <v>0.22028477236222718</v>
      </c>
      <c r="C13" s="108">
        <v>4.0485696925491181</v>
      </c>
      <c r="D13" s="108">
        <v>4.64302668766042</v>
      </c>
      <c r="E13" s="108">
        <v>0</v>
      </c>
      <c r="F13" s="108">
        <v>0</v>
      </c>
      <c r="G13" s="108">
        <v>0</v>
      </c>
      <c r="H13" s="108">
        <v>0</v>
      </c>
      <c r="I13" s="108">
        <v>0</v>
      </c>
      <c r="J13" s="108">
        <v>3.4837423827514414E-3</v>
      </c>
      <c r="K13" s="108">
        <v>0</v>
      </c>
      <c r="L13" s="108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</row>
    <row r="14" spans="1:22" ht="12" customHeight="1">
      <c r="A14" s="13" t="s">
        <v>93</v>
      </c>
      <c r="B14" s="108">
        <v>2.4458393364595636</v>
      </c>
      <c r="C14" s="108">
        <v>0.14720180964638957</v>
      </c>
      <c r="D14" s="108">
        <v>0.16881565159120795</v>
      </c>
      <c r="E14" s="108">
        <v>1.0767761389740049</v>
      </c>
      <c r="F14" s="108">
        <v>1.8572476495266663</v>
      </c>
      <c r="G14" s="108">
        <v>7.1637352908692513</v>
      </c>
      <c r="H14" s="108">
        <v>1.4743688605913263</v>
      </c>
      <c r="I14" s="108">
        <v>5.2305926207781654</v>
      </c>
      <c r="J14" s="108">
        <v>3.5619799024735488</v>
      </c>
      <c r="K14" s="108">
        <v>3.650081498490608</v>
      </c>
      <c r="L14" s="108">
        <v>2.1791182648002954</v>
      </c>
      <c r="M14" s="115">
        <v>1.6009673396089257</v>
      </c>
      <c r="N14" s="115">
        <v>3.2308739243165325</v>
      </c>
      <c r="O14" s="115">
        <v>2.2637449324472021</v>
      </c>
      <c r="P14" s="115">
        <v>6.0687913985270425</v>
      </c>
      <c r="Q14" s="115">
        <v>0.6271233064567393</v>
      </c>
      <c r="R14" s="115">
        <v>1.597338458041452</v>
      </c>
      <c r="S14" s="115">
        <v>2.7255217738683521</v>
      </c>
      <c r="T14" s="115">
        <v>2.5343176589267946</v>
      </c>
      <c r="U14" s="115">
        <v>1.6900801529417</v>
      </c>
      <c r="V14" s="115">
        <v>5.1799270519310685</v>
      </c>
    </row>
    <row r="15" spans="1:22" ht="12" customHeight="1">
      <c r="A15" s="13" t="s">
        <v>37</v>
      </c>
      <c r="B15" s="108">
        <v>0.58491745819566165</v>
      </c>
      <c r="C15" s="108">
        <v>0.16325716384913225</v>
      </c>
      <c r="D15" s="108">
        <v>0.15555463120625293</v>
      </c>
      <c r="E15" s="108">
        <v>1.7793975563334161</v>
      </c>
      <c r="F15" s="108">
        <v>0</v>
      </c>
      <c r="G15" s="108">
        <v>0</v>
      </c>
      <c r="H15" s="108">
        <v>1.8015206364279981</v>
      </c>
      <c r="I15" s="108">
        <v>0.48717568378080317</v>
      </c>
      <c r="J15" s="108">
        <v>3.2637165480513507E-2</v>
      </c>
      <c r="K15" s="108">
        <v>0.56516058519071788</v>
      </c>
      <c r="L15" s="108">
        <v>0</v>
      </c>
      <c r="M15" s="115">
        <v>0.44070682896092161</v>
      </c>
      <c r="N15" s="115">
        <v>0.12481147711849927</v>
      </c>
      <c r="O15" s="115">
        <v>7.9953912349916417E-2</v>
      </c>
      <c r="P15" s="115">
        <v>0</v>
      </c>
      <c r="Q15" s="115">
        <v>0.63214447652229011</v>
      </c>
      <c r="R15" s="115">
        <v>0.3847893519953528</v>
      </c>
      <c r="S15" s="115">
        <v>0.86524421246145999</v>
      </c>
      <c r="T15" s="115">
        <v>0.41419188540519203</v>
      </c>
      <c r="U15" s="115">
        <v>1.2802742684485562</v>
      </c>
      <c r="V15" s="115">
        <v>0</v>
      </c>
    </row>
    <row r="16" spans="1:22" ht="12" customHeight="1">
      <c r="A16" s="12" t="s">
        <v>34</v>
      </c>
      <c r="B16" s="108">
        <v>1.0068367655624479</v>
      </c>
      <c r="C16" s="108">
        <v>2.6762112558514697</v>
      </c>
      <c r="D16" s="108">
        <v>1.8862608959794112</v>
      </c>
      <c r="E16" s="108">
        <v>6.7752161637182035E-2</v>
      </c>
      <c r="F16" s="108">
        <v>0.17523666715261246</v>
      </c>
      <c r="G16" s="108">
        <v>0</v>
      </c>
      <c r="H16" s="108">
        <v>1.5284084078249265</v>
      </c>
      <c r="I16" s="108">
        <v>1.8057875490948489E-3</v>
      </c>
      <c r="J16" s="108">
        <v>0.23227393949839611</v>
      </c>
      <c r="K16" s="108">
        <v>5.6674555156373506E-3</v>
      </c>
      <c r="L16" s="108">
        <v>0.22067587863684843</v>
      </c>
      <c r="M16" s="115">
        <v>8.2896098758956052E-2</v>
      </c>
      <c r="N16" s="115">
        <v>0.55598764857879535</v>
      </c>
      <c r="O16" s="115">
        <v>0.73436162678524086</v>
      </c>
      <c r="P16" s="115">
        <v>7.3492609863491543E-2</v>
      </c>
      <c r="Q16" s="115">
        <v>0.1578439187411339</v>
      </c>
      <c r="R16" s="115">
        <v>0</v>
      </c>
      <c r="S16" s="115">
        <v>0.54123055062285574</v>
      </c>
      <c r="T16" s="115">
        <v>0.13999759862178315</v>
      </c>
      <c r="U16" s="115">
        <v>0.3882966351513632</v>
      </c>
      <c r="V16" s="115">
        <v>10.482876366027918</v>
      </c>
    </row>
    <row r="17" spans="1:22" ht="12" customHeight="1">
      <c r="A17" s="14" t="s">
        <v>94</v>
      </c>
      <c r="B17" s="108">
        <v>0.46848629633171701</v>
      </c>
      <c r="C17" s="108">
        <v>2.8049452487465176</v>
      </c>
      <c r="D17" s="108">
        <v>3.21679917510729</v>
      </c>
      <c r="E17" s="108">
        <v>0.25041243657609014</v>
      </c>
      <c r="F17" s="108">
        <v>0.30923736598888812</v>
      </c>
      <c r="G17" s="108">
        <v>0.16341193244925431</v>
      </c>
      <c r="H17" s="108">
        <v>0.19478524441054998</v>
      </c>
      <c r="I17" s="108">
        <v>0.18786639751833198</v>
      </c>
      <c r="J17" s="108">
        <v>6.6007750410027308E-2</v>
      </c>
      <c r="K17" s="108">
        <v>0.84613189677104417</v>
      </c>
      <c r="L17" s="108">
        <v>8.8108965647622065E-2</v>
      </c>
      <c r="M17" s="115">
        <v>0.53965126466526703</v>
      </c>
      <c r="N17" s="115">
        <v>0.35129095741167737</v>
      </c>
      <c r="O17" s="115">
        <v>0.5886473216410858</v>
      </c>
      <c r="P17" s="115">
        <v>0.10553077391748721</v>
      </c>
      <c r="Q17" s="115">
        <v>0.21158293928086552</v>
      </c>
      <c r="R17" s="115">
        <v>0.22103747787214401</v>
      </c>
      <c r="S17" s="115">
        <v>0.31457961293683606</v>
      </c>
      <c r="T17" s="115">
        <v>0.79052881757038451</v>
      </c>
      <c r="U17" s="115">
        <v>0.26226701655045603</v>
      </c>
      <c r="V17" s="115">
        <v>1.0490270417237157E-4</v>
      </c>
    </row>
    <row r="18" spans="1:22" ht="12" customHeight="1">
      <c r="A18" s="14" t="s">
        <v>35</v>
      </c>
      <c r="B18" s="108">
        <v>9.809476366981007E-2</v>
      </c>
      <c r="C18" s="108">
        <v>0</v>
      </c>
      <c r="D18" s="108">
        <v>0</v>
      </c>
      <c r="E18" s="108">
        <v>0.44943416185123575</v>
      </c>
      <c r="F18" s="108">
        <v>0</v>
      </c>
      <c r="G18" s="108">
        <v>0.11907168958389482</v>
      </c>
      <c r="H18" s="108">
        <v>0.13321659171968411</v>
      </c>
      <c r="I18" s="108">
        <v>0</v>
      </c>
      <c r="J18" s="108">
        <v>0</v>
      </c>
      <c r="K18" s="108">
        <v>0.16238700930821934</v>
      </c>
      <c r="L18" s="108">
        <v>0</v>
      </c>
      <c r="M18" s="115">
        <v>0</v>
      </c>
      <c r="N18" s="115">
        <v>6.6283098687772123E-3</v>
      </c>
      <c r="O18" s="115">
        <v>7.224996915508243E-2</v>
      </c>
      <c r="P18" s="115">
        <v>4.6577043429628226E-3</v>
      </c>
      <c r="Q18" s="115">
        <v>0</v>
      </c>
      <c r="R18" s="115">
        <v>4.5920323646441054E-4</v>
      </c>
      <c r="S18" s="115">
        <v>1.8701123486690893E-2</v>
      </c>
      <c r="T18" s="115">
        <v>9.5004239097479209E-2</v>
      </c>
      <c r="U18" s="115">
        <v>0.15690815113054804</v>
      </c>
      <c r="V18" s="115">
        <v>1.2683690595386744E-3</v>
      </c>
    </row>
    <row r="19" spans="1:22" ht="12" customHeight="1">
      <c r="A19" s="14" t="s">
        <v>100</v>
      </c>
      <c r="B19" s="108">
        <v>2.2441561529905782</v>
      </c>
      <c r="C19" s="108">
        <v>3.0421984621466325</v>
      </c>
      <c r="D19" s="108">
        <v>3.4888886005597484</v>
      </c>
      <c r="E19" s="108">
        <v>1.3677169021394426</v>
      </c>
      <c r="F19" s="108">
        <v>2.2358780692680966</v>
      </c>
      <c r="G19" s="108">
        <v>1.7894535292564575</v>
      </c>
      <c r="H19" s="108">
        <v>1.8369802943880233</v>
      </c>
      <c r="I19" s="108">
        <v>2.7612426398034273</v>
      </c>
      <c r="J19" s="108">
        <v>0.18471168823072642</v>
      </c>
      <c r="K19" s="108">
        <v>2.073039957338469</v>
      </c>
      <c r="L19" s="108">
        <v>2.1798227266567602</v>
      </c>
      <c r="M19" s="115">
        <v>4.8138835865559786</v>
      </c>
      <c r="N19" s="115">
        <v>2.0599016998692297</v>
      </c>
      <c r="O19" s="115">
        <v>2.5466535450282368</v>
      </c>
      <c r="P19" s="115">
        <v>1.1414138685208131</v>
      </c>
      <c r="Q19" s="115">
        <v>2.2228344855043511</v>
      </c>
      <c r="R19" s="115">
        <v>1.4585519332073582</v>
      </c>
      <c r="S19" s="115">
        <v>2.5693840901861673</v>
      </c>
      <c r="T19" s="115">
        <v>2.4071256274670589</v>
      </c>
      <c r="U19" s="115">
        <v>1.9742574387369187</v>
      </c>
      <c r="V19" s="115">
        <v>1.8055980596941531E-3</v>
      </c>
    </row>
    <row r="20" spans="1:22" ht="12" customHeight="1">
      <c r="A20" s="10" t="s">
        <v>39</v>
      </c>
      <c r="B20" s="108">
        <v>3.7986531199715158E-2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15">
        <v>0</v>
      </c>
      <c r="N20" s="115">
        <v>0</v>
      </c>
      <c r="O20" s="115">
        <v>0</v>
      </c>
      <c r="P20" s="115">
        <v>0</v>
      </c>
      <c r="Q20" s="115">
        <v>0</v>
      </c>
      <c r="R20" s="115">
        <v>0</v>
      </c>
      <c r="S20" s="115">
        <v>0</v>
      </c>
      <c r="T20" s="115">
        <v>0</v>
      </c>
      <c r="U20" s="115">
        <v>0</v>
      </c>
      <c r="V20" s="115">
        <v>0.5336686659532649</v>
      </c>
    </row>
    <row r="21" spans="1:22" ht="12" customHeight="1">
      <c r="A21" s="11" t="s">
        <v>95</v>
      </c>
      <c r="B21" s="106">
        <v>20.686381048831834</v>
      </c>
      <c r="C21" s="106">
        <v>10.386624575572968</v>
      </c>
      <c r="D21" s="106">
        <v>11.911706790634629</v>
      </c>
      <c r="E21" s="106">
        <v>22.950866753620755</v>
      </c>
      <c r="F21" s="106">
        <v>25.077846195854661</v>
      </c>
      <c r="G21" s="106">
        <v>22.673246690562447</v>
      </c>
      <c r="H21" s="106">
        <v>11.466341862676403</v>
      </c>
      <c r="I21" s="106">
        <v>18.452117608363377</v>
      </c>
      <c r="J21" s="106">
        <v>19.25370903966974</v>
      </c>
      <c r="K21" s="106">
        <v>24.369198993056454</v>
      </c>
      <c r="L21" s="106">
        <v>13.874401879862873</v>
      </c>
      <c r="M21" s="114">
        <v>24.328961004056151</v>
      </c>
      <c r="N21" s="114">
        <v>24.598445937022341</v>
      </c>
      <c r="O21" s="114">
        <v>15.082970399565552</v>
      </c>
      <c r="P21" s="114">
        <v>23.277079200095848</v>
      </c>
      <c r="Q21" s="114">
        <v>30.85795482826234</v>
      </c>
      <c r="R21" s="114">
        <v>19.044788387668554</v>
      </c>
      <c r="S21" s="114">
        <v>12.42649581854567</v>
      </c>
      <c r="T21" s="114">
        <v>16.597474823169676</v>
      </c>
      <c r="U21" s="114">
        <v>17.706013038250738</v>
      </c>
      <c r="V21" s="114">
        <v>0.49081114299411593</v>
      </c>
    </row>
    <row r="22" spans="1:22" ht="12" customHeight="1">
      <c r="A22" s="15" t="s">
        <v>16</v>
      </c>
      <c r="B22" s="106">
        <v>1.4340172346530262</v>
      </c>
      <c r="C22" s="106">
        <v>0</v>
      </c>
      <c r="D22" s="106">
        <v>0</v>
      </c>
      <c r="E22" s="106">
        <v>0.35356915842922532</v>
      </c>
      <c r="F22" s="106">
        <v>0</v>
      </c>
      <c r="G22" s="106">
        <v>0</v>
      </c>
      <c r="H22" s="106">
        <v>0</v>
      </c>
      <c r="I22" s="106">
        <v>0</v>
      </c>
      <c r="J22" s="106">
        <v>9.3437637802638654E-2</v>
      </c>
      <c r="K22" s="106">
        <v>0</v>
      </c>
      <c r="L22" s="106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2.4929265505026343E-2</v>
      </c>
      <c r="T22" s="114">
        <v>0</v>
      </c>
      <c r="U22" s="114">
        <v>0</v>
      </c>
      <c r="V22" s="114">
        <v>19.28087066447058</v>
      </c>
    </row>
    <row r="23" spans="1:22" ht="12" customHeight="1">
      <c r="A23" s="15" t="s">
        <v>17</v>
      </c>
      <c r="B23" s="106">
        <v>4.2427948196164484</v>
      </c>
      <c r="C23" s="106">
        <v>61.48077616739895</v>
      </c>
      <c r="D23" s="106">
        <v>59.290985711679845</v>
      </c>
      <c r="E23" s="106">
        <v>4.0205076819364933</v>
      </c>
      <c r="F23" s="106">
        <v>0.53614163698926531</v>
      </c>
      <c r="G23" s="106">
        <v>0.15620679880399768</v>
      </c>
      <c r="H23" s="106">
        <v>3.5702532329614525E-2</v>
      </c>
      <c r="I23" s="106">
        <v>0.62241627272551381</v>
      </c>
      <c r="J23" s="106">
        <v>0.23258564276422122</v>
      </c>
      <c r="K23" s="106">
        <v>0.37515673756477413</v>
      </c>
      <c r="L23" s="106">
        <v>0</v>
      </c>
      <c r="M23" s="114">
        <v>1.2358668507719057</v>
      </c>
      <c r="N23" s="114">
        <v>0.36359628098098884</v>
      </c>
      <c r="O23" s="114">
        <v>0.29214751545403239</v>
      </c>
      <c r="P23" s="114">
        <v>0.94049225707089512</v>
      </c>
      <c r="Q23" s="114">
        <v>1.6083266084031762</v>
      </c>
      <c r="R23" s="114">
        <v>0.42807691041939788</v>
      </c>
      <c r="S23" s="114">
        <v>0.58372551426002395</v>
      </c>
      <c r="T23" s="114">
        <v>3.2139489655921936</v>
      </c>
      <c r="U23" s="114">
        <v>0.98093113904964124</v>
      </c>
      <c r="V23" s="114">
        <v>0.50894659533664266</v>
      </c>
    </row>
    <row r="24" spans="1:22" ht="12" customHeight="1">
      <c r="A24" s="15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</row>
    <row r="25" spans="1:22">
      <c r="A25" s="9" t="s">
        <v>20</v>
      </c>
    </row>
    <row r="26" spans="1:22">
      <c r="A26" s="9" t="s">
        <v>50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opLeftCell="E1" workbookViewId="0">
      <selection activeCell="L39" sqref="L39"/>
    </sheetView>
  </sheetViews>
  <sheetFormatPr baseColWidth="10" defaultColWidth="11.42578125" defaultRowHeight="12.75"/>
  <cols>
    <col min="1" max="1" width="33.28515625" style="138" customWidth="1"/>
    <col min="2" max="4" width="9.7109375" style="138" customWidth="1"/>
    <col min="5" max="5" width="11.7109375" style="138" customWidth="1"/>
    <col min="6" max="6" width="9.7109375" style="138" customWidth="1"/>
    <col min="7" max="7" width="11.140625" style="138" customWidth="1"/>
    <col min="8" max="9" width="9.7109375" style="138" customWidth="1"/>
    <col min="10" max="16384" width="11.42578125" style="138"/>
  </cols>
  <sheetData>
    <row r="1" spans="1:26" ht="13.15" customHeight="1">
      <c r="A1" s="57" t="s">
        <v>138</v>
      </c>
      <c r="B1" s="137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</row>
    <row r="3" spans="1:26" ht="16.899999999999999" customHeight="1" thickBot="1">
      <c r="A3" s="35"/>
      <c r="B3" s="202" t="s">
        <v>122</v>
      </c>
      <c r="C3" s="202"/>
      <c r="D3" s="202"/>
      <c r="E3" s="202"/>
      <c r="F3" s="202"/>
      <c r="G3" s="202"/>
      <c r="H3" s="203"/>
      <c r="I3" s="204" t="s">
        <v>123</v>
      </c>
      <c r="J3" s="202"/>
      <c r="K3" s="202"/>
      <c r="L3" s="202"/>
      <c r="M3" s="202"/>
      <c r="N3" s="202"/>
      <c r="O3" s="202"/>
      <c r="P3" s="202"/>
      <c r="Q3" s="202"/>
      <c r="R3" s="202"/>
      <c r="S3" s="203"/>
      <c r="T3" s="200" t="s">
        <v>124</v>
      </c>
      <c r="U3" s="201"/>
      <c r="V3" s="201"/>
      <c r="W3" s="201"/>
      <c r="X3" s="201"/>
      <c r="Y3" s="201"/>
      <c r="Z3" s="201"/>
    </row>
    <row r="4" spans="1:26" ht="15" customHeight="1">
      <c r="A4" s="220"/>
      <c r="B4" s="222" t="s">
        <v>117</v>
      </c>
      <c r="C4" s="225" t="s">
        <v>8</v>
      </c>
      <c r="D4" s="225"/>
      <c r="E4" s="225"/>
      <c r="F4" s="225"/>
      <c r="G4" s="226" t="s">
        <v>84</v>
      </c>
      <c r="H4" s="229" t="s">
        <v>64</v>
      </c>
      <c r="I4" s="210" t="s">
        <v>117</v>
      </c>
      <c r="J4" s="216" t="s">
        <v>8</v>
      </c>
      <c r="K4" s="216"/>
      <c r="L4" s="216"/>
      <c r="M4" s="216"/>
      <c r="N4" s="216"/>
      <c r="O4" s="216"/>
      <c r="P4" s="216" t="s">
        <v>118</v>
      </c>
      <c r="Q4" s="216"/>
      <c r="R4" s="216"/>
      <c r="S4" s="217" t="s">
        <v>64</v>
      </c>
      <c r="T4" s="213" t="s">
        <v>59</v>
      </c>
      <c r="U4" s="215" t="s">
        <v>8</v>
      </c>
      <c r="V4" s="215"/>
      <c r="W4" s="215"/>
      <c r="X4" s="215"/>
      <c r="Y4" s="205" t="s">
        <v>84</v>
      </c>
      <c r="Z4" s="205" t="s">
        <v>119</v>
      </c>
    </row>
    <row r="5" spans="1:26" ht="28.5" customHeight="1">
      <c r="A5" s="221"/>
      <c r="B5" s="223"/>
      <c r="C5" s="207" t="s">
        <v>5</v>
      </c>
      <c r="D5" s="208" t="s">
        <v>6</v>
      </c>
      <c r="E5" s="208" t="s">
        <v>44</v>
      </c>
      <c r="F5" s="207" t="s">
        <v>7</v>
      </c>
      <c r="G5" s="227"/>
      <c r="H5" s="230"/>
      <c r="I5" s="211"/>
      <c r="J5" s="209" t="s">
        <v>5</v>
      </c>
      <c r="K5" s="206" t="s">
        <v>6</v>
      </c>
      <c r="L5" s="206"/>
      <c r="M5" s="206"/>
      <c r="N5" s="206" t="s">
        <v>120</v>
      </c>
      <c r="O5" s="209" t="s">
        <v>7</v>
      </c>
      <c r="P5" s="206" t="s">
        <v>5</v>
      </c>
      <c r="Q5" s="206" t="s">
        <v>61</v>
      </c>
      <c r="R5" s="206" t="s">
        <v>139</v>
      </c>
      <c r="S5" s="218"/>
      <c r="T5" s="214"/>
      <c r="U5" s="209" t="s">
        <v>5</v>
      </c>
      <c r="V5" s="209" t="s">
        <v>6</v>
      </c>
      <c r="W5" s="206" t="s">
        <v>121</v>
      </c>
      <c r="X5" s="209" t="s">
        <v>7</v>
      </c>
      <c r="Y5" s="206"/>
      <c r="Z5" s="206"/>
    </row>
    <row r="6" spans="1:26" ht="18.75" customHeight="1">
      <c r="A6" s="141"/>
      <c r="B6" s="224"/>
      <c r="C6" s="207"/>
      <c r="D6" s="208"/>
      <c r="E6" s="208"/>
      <c r="F6" s="207"/>
      <c r="G6" s="228"/>
      <c r="H6" s="230"/>
      <c r="I6" s="212"/>
      <c r="J6" s="209"/>
      <c r="K6" s="140" t="s">
        <v>5</v>
      </c>
      <c r="L6" s="140" t="s">
        <v>62</v>
      </c>
      <c r="M6" s="140" t="s">
        <v>63</v>
      </c>
      <c r="N6" s="206"/>
      <c r="O6" s="209"/>
      <c r="P6" s="206"/>
      <c r="Q6" s="206"/>
      <c r="R6" s="206"/>
      <c r="S6" s="219"/>
      <c r="T6" s="214"/>
      <c r="U6" s="209"/>
      <c r="V6" s="209"/>
      <c r="W6" s="206"/>
      <c r="X6" s="209"/>
      <c r="Y6" s="206"/>
      <c r="Z6" s="206"/>
    </row>
    <row r="7" spans="1:26" s="142" customFormat="1" ht="10.5" customHeight="1">
      <c r="A7" s="20"/>
      <c r="B7" s="143"/>
      <c r="C7" s="143"/>
      <c r="D7" s="143"/>
      <c r="E7" s="143"/>
      <c r="F7" s="143"/>
      <c r="G7" s="143"/>
      <c r="H7" s="144"/>
      <c r="I7" s="145"/>
      <c r="J7" s="146"/>
      <c r="K7" s="146"/>
      <c r="L7" s="146"/>
      <c r="M7" s="146"/>
      <c r="N7" s="146"/>
      <c r="O7" s="146"/>
      <c r="P7" s="146"/>
      <c r="Q7" s="146"/>
      <c r="R7" s="146"/>
      <c r="S7" s="144"/>
      <c r="T7" s="146"/>
    </row>
    <row r="8" spans="1:26" s="142" customFormat="1" ht="9.75" customHeight="1">
      <c r="A8" s="82" t="s">
        <v>21</v>
      </c>
      <c r="B8" s="147">
        <v>44194611.800000004</v>
      </c>
      <c r="C8" s="148">
        <v>93.996814852995044</v>
      </c>
      <c r="D8" s="149">
        <v>63.346371721955734</v>
      </c>
      <c r="E8" s="149">
        <v>13.419566361567549</v>
      </c>
      <c r="F8" s="149">
        <v>17.230876769471767</v>
      </c>
      <c r="G8" s="149">
        <v>5.2424049079142279</v>
      </c>
      <c r="H8" s="150">
        <v>0.76078023909074688</v>
      </c>
      <c r="I8" s="151">
        <v>32543500.949999999</v>
      </c>
      <c r="J8" s="149">
        <v>97.370889698663007</v>
      </c>
      <c r="K8" s="149">
        <v>67.099999999999994</v>
      </c>
      <c r="L8" s="152" t="s">
        <v>71</v>
      </c>
      <c r="M8" s="152" t="s">
        <v>71</v>
      </c>
      <c r="N8" s="149">
        <v>17.643364098664513</v>
      </c>
      <c r="O8" s="149">
        <v>12.627525599998512</v>
      </c>
      <c r="P8" s="149">
        <v>2.3379318518035292</v>
      </c>
      <c r="Q8" s="152" t="s">
        <v>71</v>
      </c>
      <c r="R8" s="152" t="s">
        <v>71</v>
      </c>
      <c r="S8" s="150">
        <v>0.26919882940722561</v>
      </c>
      <c r="T8" s="153">
        <v>9142265.8000000007</v>
      </c>
      <c r="U8" s="149">
        <v>81.476265466875702</v>
      </c>
      <c r="V8" s="149">
        <v>64.168821542018449</v>
      </c>
      <c r="W8" s="149">
        <v>0</v>
      </c>
      <c r="X8" s="149">
        <v>17.307443924857246</v>
      </c>
      <c r="Y8" s="149">
        <v>15.835970075872641</v>
      </c>
      <c r="Z8" s="149">
        <v>2.6877644572516495</v>
      </c>
    </row>
    <row r="9" spans="1:26" s="142" customFormat="1" ht="9.75" customHeight="1">
      <c r="A9" s="82" t="s">
        <v>47</v>
      </c>
      <c r="B9" s="147">
        <v>40938535.400000006</v>
      </c>
      <c r="C9" s="148">
        <v>94.091517743939619</v>
      </c>
      <c r="D9" s="149">
        <v>65.384084795568924</v>
      </c>
      <c r="E9" s="149">
        <v>14.450743882742808</v>
      </c>
      <c r="F9" s="149">
        <v>14.256689065627882</v>
      </c>
      <c r="G9" s="149">
        <v>5.0976718624868047</v>
      </c>
      <c r="H9" s="150">
        <v>0.81081039357358164</v>
      </c>
      <c r="I9" s="151">
        <v>30247256.099999998</v>
      </c>
      <c r="J9" s="149">
        <v>28.592691421024469</v>
      </c>
      <c r="K9" s="149">
        <v>69.099999999999994</v>
      </c>
      <c r="L9" s="154">
        <v>61.4</v>
      </c>
      <c r="M9" s="154">
        <v>7.7</v>
      </c>
      <c r="N9" s="149">
        <v>19.106169435316151</v>
      </c>
      <c r="O9" s="149">
        <v>9.4865219857083183</v>
      </c>
      <c r="P9" s="149">
        <v>2.0375266370029514</v>
      </c>
      <c r="Q9" s="154">
        <v>1.5</v>
      </c>
      <c r="R9" s="154">
        <v>0.5</v>
      </c>
      <c r="S9" s="150">
        <v>0.28489294934756088</v>
      </c>
      <c r="T9" s="153">
        <v>9126826</v>
      </c>
      <c r="U9" s="149">
        <v>81.446575597623479</v>
      </c>
      <c r="V9" s="149">
        <v>64.151716241498221</v>
      </c>
      <c r="W9" s="149">
        <v>0</v>
      </c>
      <c r="X9" s="149">
        <v>17.294859356125251</v>
      </c>
      <c r="Y9" s="149">
        <v>15.861234663942083</v>
      </c>
      <c r="Z9" s="149">
        <v>2.6921897384344415</v>
      </c>
    </row>
    <row r="10" spans="1:26" s="142" customFormat="1" ht="9.75" customHeight="1">
      <c r="A10" s="9" t="s">
        <v>125</v>
      </c>
      <c r="B10" s="155">
        <v>2109349.4</v>
      </c>
      <c r="C10" s="156">
        <v>95.282754009364226</v>
      </c>
      <c r="D10" s="154">
        <v>23.746777086811697</v>
      </c>
      <c r="E10" s="154">
        <v>0.76175146706373065</v>
      </c>
      <c r="F10" s="154">
        <v>70.774225455488789</v>
      </c>
      <c r="G10" s="154">
        <v>0.94219573106285759</v>
      </c>
      <c r="H10" s="157">
        <v>3.7750502595729283</v>
      </c>
      <c r="I10" s="158">
        <v>676359</v>
      </c>
      <c r="J10" s="154">
        <v>87.002299962002425</v>
      </c>
      <c r="K10" s="154">
        <v>55.4</v>
      </c>
      <c r="L10" s="152" t="s">
        <v>71</v>
      </c>
      <c r="M10" s="152" t="s">
        <v>71</v>
      </c>
      <c r="N10" s="154">
        <v>3.0406928864700551</v>
      </c>
      <c r="O10" s="154">
        <v>28.561607075532372</v>
      </c>
      <c r="P10" s="154">
        <v>2.1422055446885455</v>
      </c>
      <c r="Q10" s="152" t="s">
        <v>71</v>
      </c>
      <c r="R10" s="152" t="s">
        <v>71</v>
      </c>
      <c r="S10" s="157">
        <v>10.893031659222395</v>
      </c>
      <c r="T10" s="159">
        <v>249713.40000000002</v>
      </c>
      <c r="U10" s="154">
        <v>95.459514787752681</v>
      </c>
      <c r="V10" s="154">
        <v>50.639453068998293</v>
      </c>
      <c r="W10" s="154">
        <v>0</v>
      </c>
      <c r="X10" s="154">
        <v>44.820061718754381</v>
      </c>
      <c r="Y10" s="154">
        <v>2.1565522715240748</v>
      </c>
      <c r="Z10" s="154">
        <v>2.3839329407232448</v>
      </c>
    </row>
    <row r="11" spans="1:26" s="142" customFormat="1" ht="9.75" customHeight="1">
      <c r="A11" s="9" t="s">
        <v>126</v>
      </c>
      <c r="B11" s="155">
        <v>1801536.5999999999</v>
      </c>
      <c r="C11" s="156">
        <v>94.476759450793281</v>
      </c>
      <c r="D11" s="154">
        <v>27.804181164012991</v>
      </c>
      <c r="E11" s="154">
        <v>0.89190527686198551</v>
      </c>
      <c r="F11" s="154">
        <v>65.780673009918303</v>
      </c>
      <c r="G11" s="154">
        <v>1.1031804738244009</v>
      </c>
      <c r="H11" s="157">
        <v>4.4200600753823158</v>
      </c>
      <c r="I11" s="158">
        <v>603698</v>
      </c>
      <c r="J11" s="154">
        <v>85.369963127258984</v>
      </c>
      <c r="K11" s="154">
        <v>62</v>
      </c>
      <c r="L11" s="152" t="s">
        <v>71</v>
      </c>
      <c r="M11" s="152" t="s">
        <v>71</v>
      </c>
      <c r="N11" s="154">
        <v>3.4066702225284828</v>
      </c>
      <c r="O11" s="154">
        <v>19.963292904730512</v>
      </c>
      <c r="P11" s="154">
        <v>2.4000410801427203</v>
      </c>
      <c r="Q11" s="152" t="s">
        <v>71</v>
      </c>
      <c r="R11" s="152" t="s">
        <v>71</v>
      </c>
      <c r="S11" s="157">
        <v>12.204115302684455</v>
      </c>
      <c r="T11" s="159">
        <v>249713.40000000002</v>
      </c>
      <c r="U11" s="154">
        <v>95.459514787752681</v>
      </c>
      <c r="V11" s="154">
        <v>50.639453068998293</v>
      </c>
      <c r="W11" s="154">
        <v>0</v>
      </c>
      <c r="X11" s="154">
        <v>44.820061718754381</v>
      </c>
      <c r="Y11" s="154">
        <v>2.1565522715240748</v>
      </c>
      <c r="Z11" s="154">
        <v>2.3839329407232448</v>
      </c>
    </row>
    <row r="12" spans="1:26" s="142" customFormat="1" ht="9.75" customHeight="1">
      <c r="A12" s="83" t="s">
        <v>9</v>
      </c>
      <c r="B12" s="155">
        <v>7514003.8000000007</v>
      </c>
      <c r="C12" s="156">
        <v>92.917891524089981</v>
      </c>
      <c r="D12" s="154">
        <v>69.373218842396639</v>
      </c>
      <c r="E12" s="154">
        <v>9.940241180074997</v>
      </c>
      <c r="F12" s="154">
        <v>13.60443150161835</v>
      </c>
      <c r="G12" s="154">
        <v>6.5000153446821507</v>
      </c>
      <c r="H12" s="157">
        <v>0.58209313122785478</v>
      </c>
      <c r="I12" s="158">
        <v>5460806.5</v>
      </c>
      <c r="J12" s="154">
        <v>22.149470046228519</v>
      </c>
      <c r="K12" s="154">
        <v>75.400000000000006</v>
      </c>
      <c r="L12" s="154">
        <v>68.5</v>
      </c>
      <c r="M12" s="154">
        <v>6.9</v>
      </c>
      <c r="N12" s="154">
        <v>14.432280286803786</v>
      </c>
      <c r="O12" s="154">
        <v>7.7171897594247314</v>
      </c>
      <c r="P12" s="154">
        <v>2.4738232347181683</v>
      </c>
      <c r="Q12" s="154">
        <v>1.2</v>
      </c>
      <c r="R12" s="154">
        <v>1.3</v>
      </c>
      <c r="S12" s="157">
        <v>1.2196000718941425E-3</v>
      </c>
      <c r="T12" s="159">
        <v>1724528.9999999998</v>
      </c>
      <c r="U12" s="154">
        <v>77.512799146897507</v>
      </c>
      <c r="V12" s="154">
        <v>62.659207238614144</v>
      </c>
      <c r="W12" s="154">
        <v>0</v>
      </c>
      <c r="X12" s="154">
        <v>14.853591908283365</v>
      </c>
      <c r="Y12" s="154">
        <v>19.954834044542018</v>
      </c>
      <c r="Z12" s="154">
        <v>2.5323668085604827</v>
      </c>
    </row>
    <row r="13" spans="1:26" s="142" customFormat="1" ht="9.75" customHeight="1">
      <c r="A13" s="83" t="s">
        <v>23</v>
      </c>
      <c r="B13" s="155">
        <v>1079987.7</v>
      </c>
      <c r="C13" s="156">
        <v>92.781593716298815</v>
      </c>
      <c r="D13" s="154">
        <v>70.250272294767811</v>
      </c>
      <c r="E13" s="154">
        <v>14.15824458000772</v>
      </c>
      <c r="F13" s="154">
        <v>8.3730768415232859</v>
      </c>
      <c r="G13" s="154">
        <v>5.4978589108005584</v>
      </c>
      <c r="H13" s="157">
        <v>1.720547372900636</v>
      </c>
      <c r="I13" s="158">
        <v>803642.3</v>
      </c>
      <c r="J13" s="154">
        <v>25.28855188433959</v>
      </c>
      <c r="K13" s="154">
        <v>72.099999999999994</v>
      </c>
      <c r="L13" s="154">
        <v>63.1</v>
      </c>
      <c r="M13" s="154">
        <v>9</v>
      </c>
      <c r="N13" s="154">
        <v>18.04071288930411</v>
      </c>
      <c r="O13" s="154">
        <v>7.2478389950354787</v>
      </c>
      <c r="P13" s="154">
        <v>2.6040441126605702</v>
      </c>
      <c r="Q13" s="154">
        <v>2.5</v>
      </c>
      <c r="R13" s="154">
        <v>0.1</v>
      </c>
      <c r="S13" s="157">
        <v>0</v>
      </c>
      <c r="T13" s="159">
        <v>270932.90000000002</v>
      </c>
      <c r="U13" s="154">
        <v>78.950249305270773</v>
      </c>
      <c r="V13" s="154">
        <v>66.145049198528483</v>
      </c>
      <c r="W13" s="154">
        <v>0</v>
      </c>
      <c r="X13" s="154">
        <v>12.805200106742291</v>
      </c>
      <c r="Y13" s="154">
        <v>14.19133667413592</v>
      </c>
      <c r="Z13" s="154">
        <v>6.8584140205932904</v>
      </c>
    </row>
    <row r="14" spans="1:26" s="142" customFormat="1" ht="9.75" customHeight="1">
      <c r="A14" s="84" t="s">
        <v>49</v>
      </c>
      <c r="B14" s="155">
        <v>801959.1</v>
      </c>
      <c r="C14" s="156">
        <v>95.252588317783278</v>
      </c>
      <c r="D14" s="154">
        <v>73.656923401704645</v>
      </c>
      <c r="E14" s="154">
        <v>11.280724914774332</v>
      </c>
      <c r="F14" s="154">
        <v>10.314940001304304</v>
      </c>
      <c r="G14" s="154">
        <v>4.2889843135391823</v>
      </c>
      <c r="H14" s="157">
        <v>0.45842736867752981</v>
      </c>
      <c r="I14" s="158">
        <v>619066.59999999986</v>
      </c>
      <c r="J14" s="154">
        <v>23.920883471988311</v>
      </c>
      <c r="K14" s="154">
        <v>74.8</v>
      </c>
      <c r="L14" s="154">
        <v>68</v>
      </c>
      <c r="M14" s="154">
        <v>6.8</v>
      </c>
      <c r="N14" s="154">
        <v>13.792684018165415</v>
      </c>
      <c r="O14" s="154">
        <v>10.128199453822898</v>
      </c>
      <c r="P14" s="154">
        <v>1.0608713182071206</v>
      </c>
      <c r="Q14" s="154">
        <v>0.7</v>
      </c>
      <c r="R14" s="154">
        <v>0.4</v>
      </c>
      <c r="S14" s="157">
        <v>0.18388974627285665</v>
      </c>
      <c r="T14" s="159">
        <v>181886.1</v>
      </c>
      <c r="U14" s="154">
        <v>83.304716523142773</v>
      </c>
      <c r="V14" s="154">
        <v>70.056975216907716</v>
      </c>
      <c r="W14" s="154">
        <v>0</v>
      </c>
      <c r="X14" s="154">
        <v>13.247741306235058</v>
      </c>
      <c r="Y14" s="154">
        <v>15.299904720591622</v>
      </c>
      <c r="Z14" s="154">
        <v>1.395378756265597</v>
      </c>
    </row>
    <row r="15" spans="1:26" s="142" customFormat="1" ht="9.75" customHeight="1">
      <c r="A15" s="84" t="s">
        <v>36</v>
      </c>
      <c r="B15" s="155">
        <v>823471</v>
      </c>
      <c r="C15" s="156">
        <v>92.269187378790505</v>
      </c>
      <c r="D15" s="154">
        <v>63.648993103582278</v>
      </c>
      <c r="E15" s="154">
        <v>21.175001912635661</v>
      </c>
      <c r="F15" s="154">
        <v>7.4451923625725742</v>
      </c>
      <c r="G15" s="154">
        <v>6.8996965284751983</v>
      </c>
      <c r="H15" s="157">
        <v>0.83111609273429177</v>
      </c>
      <c r="I15" s="158">
        <v>728755</v>
      </c>
      <c r="J15" s="154">
        <v>30.78867383414179</v>
      </c>
      <c r="K15" s="154">
        <v>63.8</v>
      </c>
      <c r="L15" s="154">
        <v>59.3</v>
      </c>
      <c r="M15" s="154">
        <v>4.5</v>
      </c>
      <c r="N15" s="154">
        <v>21.604928954175271</v>
      </c>
      <c r="O15" s="154">
        <v>9.1837448799665182</v>
      </c>
      <c r="P15" s="154">
        <v>4.7817167635213478</v>
      </c>
      <c r="Q15" s="154">
        <v>4.7</v>
      </c>
      <c r="R15" s="154">
        <v>0.1</v>
      </c>
      <c r="S15" s="157">
        <v>0.62394083059464434</v>
      </c>
      <c r="T15" s="159">
        <v>94422</v>
      </c>
      <c r="U15" s="154">
        <v>74.299421744932317</v>
      </c>
      <c r="V15" s="154">
        <v>62.637944546821714</v>
      </c>
      <c r="W15" s="154">
        <v>0</v>
      </c>
      <c r="X15" s="154">
        <v>11.66147719811061</v>
      </c>
      <c r="Y15" s="154">
        <v>23.267882485014084</v>
      </c>
      <c r="Z15" s="154">
        <v>2.4326957700535892</v>
      </c>
    </row>
    <row r="16" spans="1:26" s="142" customFormat="1" ht="9.75" customHeight="1">
      <c r="A16" s="84" t="s">
        <v>10</v>
      </c>
      <c r="B16" s="155">
        <v>1550570</v>
      </c>
      <c r="C16" s="156">
        <v>96.542948722082841</v>
      </c>
      <c r="D16" s="154">
        <v>76.34863308331775</v>
      </c>
      <c r="E16" s="154">
        <v>8.253867932437748</v>
      </c>
      <c r="F16" s="154">
        <v>11.940447706327351</v>
      </c>
      <c r="G16" s="154">
        <v>2.8524994034451847</v>
      </c>
      <c r="H16" s="157">
        <v>0.60455187447196834</v>
      </c>
      <c r="I16" s="158">
        <v>1254806</v>
      </c>
      <c r="J16" s="154">
        <v>20.615298301091961</v>
      </c>
      <c r="K16" s="154">
        <v>78</v>
      </c>
      <c r="L16" s="154">
        <v>70.2</v>
      </c>
      <c r="M16" s="154">
        <v>7.8</v>
      </c>
      <c r="N16" s="154">
        <v>9.7990526025537008</v>
      </c>
      <c r="O16" s="154">
        <v>10.81624569853826</v>
      </c>
      <c r="P16" s="154">
        <v>1.3665857511041548</v>
      </c>
      <c r="Q16" s="154">
        <v>0.9</v>
      </c>
      <c r="R16" s="154">
        <v>0.4</v>
      </c>
      <c r="S16" s="157">
        <v>0</v>
      </c>
      <c r="T16" s="159">
        <v>286113</v>
      </c>
      <c r="U16" s="154">
        <v>87.258181208124057</v>
      </c>
      <c r="V16" s="154">
        <v>71.602129228661397</v>
      </c>
      <c r="W16" s="154">
        <v>0</v>
      </c>
      <c r="X16" s="154">
        <v>15.65605197946266</v>
      </c>
      <c r="Y16" s="154">
        <v>9.4654909074386691</v>
      </c>
      <c r="Z16" s="154">
        <v>3.2763278844372676</v>
      </c>
    </row>
    <row r="17" spans="1:26" s="142" customFormat="1" ht="9.75" customHeight="1">
      <c r="A17" s="84" t="s">
        <v>24</v>
      </c>
      <c r="B17" s="155">
        <v>545390.5</v>
      </c>
      <c r="C17" s="156">
        <v>91.511678329563878</v>
      </c>
      <c r="D17" s="154">
        <v>66.06651564337848</v>
      </c>
      <c r="E17" s="154">
        <v>15.043441350738595</v>
      </c>
      <c r="F17" s="154">
        <v>10.401721335446807</v>
      </c>
      <c r="G17" s="154">
        <v>8.1872529866215125</v>
      </c>
      <c r="H17" s="157">
        <v>0.30106868381462459</v>
      </c>
      <c r="I17" s="158">
        <v>438604.50000000012</v>
      </c>
      <c r="J17" s="154">
        <v>28.120892512502721</v>
      </c>
      <c r="K17" s="154">
        <v>66.900000000000006</v>
      </c>
      <c r="L17" s="154">
        <v>61.8</v>
      </c>
      <c r="M17" s="154">
        <v>5.0999999999999996</v>
      </c>
      <c r="N17" s="154">
        <v>17.592888353858655</v>
      </c>
      <c r="O17" s="154">
        <v>10.528004158644064</v>
      </c>
      <c r="P17" s="154">
        <v>5.0276501951074364</v>
      </c>
      <c r="Q17" s="154">
        <v>4.5999999999999996</v>
      </c>
      <c r="R17" s="154">
        <v>0.4</v>
      </c>
      <c r="S17" s="157">
        <v>0</v>
      </c>
      <c r="T17" s="159">
        <v>105007.9</v>
      </c>
      <c r="U17" s="154">
        <v>76.913165580875344</v>
      </c>
      <c r="V17" s="154">
        <v>63.906620359039657</v>
      </c>
      <c r="W17" s="154">
        <v>0</v>
      </c>
      <c r="X17" s="154">
        <v>13.006545221835687</v>
      </c>
      <c r="Y17" s="154">
        <v>21.52314254451332</v>
      </c>
      <c r="Z17" s="154">
        <v>1.5636918746113389</v>
      </c>
    </row>
    <row r="18" spans="1:26" s="142" customFormat="1" ht="9.75" customHeight="1">
      <c r="A18" s="84" t="s">
        <v>25</v>
      </c>
      <c r="B18" s="155">
        <v>2082063.1</v>
      </c>
      <c r="C18" s="156">
        <v>95.683046301526574</v>
      </c>
      <c r="D18" s="154">
        <v>71.108810294942543</v>
      </c>
      <c r="E18" s="154">
        <v>13.645984120269937</v>
      </c>
      <c r="F18" s="154">
        <v>10.928251886314106</v>
      </c>
      <c r="G18" s="154">
        <v>3.8158593752514025</v>
      </c>
      <c r="H18" s="157">
        <v>0.5010943232220002</v>
      </c>
      <c r="I18" s="158">
        <v>1566870</v>
      </c>
      <c r="J18" s="154">
        <v>26.947034533815824</v>
      </c>
      <c r="K18" s="154">
        <v>71.900000000000006</v>
      </c>
      <c r="L18" s="154">
        <v>65.099999999999994</v>
      </c>
      <c r="M18" s="154">
        <v>6.8</v>
      </c>
      <c r="N18" s="154">
        <v>19.070120686464097</v>
      </c>
      <c r="O18" s="154">
        <v>7.8769138473517266</v>
      </c>
      <c r="P18" s="154">
        <v>1.1911007294797908</v>
      </c>
      <c r="Q18" s="154">
        <v>1</v>
      </c>
      <c r="R18" s="154">
        <v>0.1</v>
      </c>
      <c r="S18" s="157">
        <v>3.7654687370362568E-3</v>
      </c>
      <c r="T18" s="159">
        <v>507382.1</v>
      </c>
      <c r="U18" s="154">
        <v>85.975126044060289</v>
      </c>
      <c r="V18" s="154">
        <v>69.889596026347803</v>
      </c>
      <c r="W18" s="154">
        <v>0</v>
      </c>
      <c r="X18" s="154">
        <v>16.085530017712493</v>
      </c>
      <c r="Y18" s="154">
        <v>11.980241321087203</v>
      </c>
      <c r="Z18" s="154">
        <v>2.0446326348525106</v>
      </c>
    </row>
    <row r="19" spans="1:26" s="142" customFormat="1" ht="9.75" customHeight="1">
      <c r="A19" s="84" t="s">
        <v>26</v>
      </c>
      <c r="B19" s="155">
        <v>1561475.5999999999</v>
      </c>
      <c r="C19" s="156">
        <v>97.478634952733174</v>
      </c>
      <c r="D19" s="154">
        <v>80.403920496740383</v>
      </c>
      <c r="E19" s="154">
        <v>9.4675830989610077</v>
      </c>
      <c r="F19" s="154">
        <v>7.6071313570317747</v>
      </c>
      <c r="G19" s="154">
        <v>2.224229440408803</v>
      </c>
      <c r="H19" s="157">
        <v>0.29713560685802587</v>
      </c>
      <c r="I19" s="158">
        <v>1344830.2</v>
      </c>
      <c r="J19" s="154">
        <v>16.552944750943279</v>
      </c>
      <c r="K19" s="154">
        <v>82.7</v>
      </c>
      <c r="L19" s="154">
        <v>73.400000000000006</v>
      </c>
      <c r="M19" s="154">
        <v>9.4</v>
      </c>
      <c r="N19" s="154">
        <v>10.970931497522882</v>
      </c>
      <c r="O19" s="154">
        <v>5.5820132534203974</v>
      </c>
      <c r="P19" s="154">
        <v>0.6310387735195121</v>
      </c>
      <c r="Q19" s="154">
        <v>0.4</v>
      </c>
      <c r="R19" s="154">
        <v>0.2</v>
      </c>
      <c r="S19" s="157">
        <v>6.8231662257435918E-2</v>
      </c>
      <c r="T19" s="159">
        <v>216645.40000000002</v>
      </c>
      <c r="U19" s="154">
        <v>86.167950023402298</v>
      </c>
      <c r="V19" s="154">
        <v>65.854340779910387</v>
      </c>
      <c r="W19" s="154">
        <v>0</v>
      </c>
      <c r="X19" s="154">
        <v>20.313609243491907</v>
      </c>
      <c r="Y19" s="154">
        <v>12.11398903461601</v>
      </c>
      <c r="Z19" s="154">
        <v>1.7180609419816897</v>
      </c>
    </row>
    <row r="20" spans="1:26" s="142" customFormat="1" ht="9.75" customHeight="1">
      <c r="A20" s="83" t="s">
        <v>11</v>
      </c>
      <c r="B20" s="155">
        <v>6072903.4000000013</v>
      </c>
      <c r="C20" s="156">
        <v>94.932863578893745</v>
      </c>
      <c r="D20" s="154">
        <v>63.058142831647871</v>
      </c>
      <c r="E20" s="154">
        <v>18.471655584048971</v>
      </c>
      <c r="F20" s="154">
        <v>13.403065163196896</v>
      </c>
      <c r="G20" s="154">
        <v>4.1742373178535974</v>
      </c>
      <c r="H20" s="157">
        <v>0.89289910325265487</v>
      </c>
      <c r="I20" s="158">
        <v>4520376.1000000006</v>
      </c>
      <c r="J20" s="154">
        <v>34.828473675011239</v>
      </c>
      <c r="K20" s="154">
        <v>64.099999999999994</v>
      </c>
      <c r="L20" s="154">
        <v>59.1</v>
      </c>
      <c r="M20" s="154">
        <v>5</v>
      </c>
      <c r="N20" s="154">
        <v>23.183435997725937</v>
      </c>
      <c r="O20" s="154">
        <v>11.645037677285298</v>
      </c>
      <c r="P20" s="154">
        <v>1.0752844215772221</v>
      </c>
      <c r="Q20" s="154">
        <v>1</v>
      </c>
      <c r="R20" s="154">
        <v>0.1</v>
      </c>
      <c r="S20" s="157">
        <v>4.4642303103938621E-3</v>
      </c>
      <c r="T20" s="159">
        <v>1477474.3000000003</v>
      </c>
      <c r="U20" s="154">
        <v>82.475932068666083</v>
      </c>
      <c r="V20" s="154">
        <v>63.098945274378025</v>
      </c>
      <c r="W20" s="154">
        <v>0</v>
      </c>
      <c r="X20" s="154">
        <v>19.376986794288058</v>
      </c>
      <c r="Y20" s="154">
        <v>13.867618543347925</v>
      </c>
      <c r="Z20" s="154">
        <v>3.6564493879859699</v>
      </c>
    </row>
    <row r="21" spans="1:26" s="142" customFormat="1" ht="9.75" customHeight="1">
      <c r="A21" s="83" t="s">
        <v>58</v>
      </c>
      <c r="B21" s="155">
        <v>4210756.5</v>
      </c>
      <c r="C21" s="156">
        <v>92.977677526591719</v>
      </c>
      <c r="D21" s="154">
        <v>64.692194858572321</v>
      </c>
      <c r="E21" s="154">
        <v>15.984343905899095</v>
      </c>
      <c r="F21" s="154">
        <v>12.301138762120299</v>
      </c>
      <c r="G21" s="154">
        <v>6.0490294321222331</v>
      </c>
      <c r="H21" s="157">
        <v>0.97329304128604921</v>
      </c>
      <c r="I21" s="158">
        <v>3170963.9999999995</v>
      </c>
      <c r="J21" s="154">
        <v>31.484826065511946</v>
      </c>
      <c r="K21" s="154">
        <v>66.599999999999994</v>
      </c>
      <c r="L21" s="154">
        <v>61.9</v>
      </c>
      <c r="M21" s="154">
        <v>4.7</v>
      </c>
      <c r="N21" s="154">
        <v>20.631855170856561</v>
      </c>
      <c r="O21" s="154">
        <v>10.852970894655384</v>
      </c>
      <c r="P21" s="154">
        <v>1.9296781672702685</v>
      </c>
      <c r="Q21" s="154">
        <v>1.6</v>
      </c>
      <c r="R21" s="154">
        <v>0.3</v>
      </c>
      <c r="S21" s="157">
        <v>0</v>
      </c>
      <c r="T21" s="159">
        <v>1039484.4</v>
      </c>
      <c r="U21" s="154">
        <v>77.440402184005848</v>
      </c>
      <c r="V21" s="154">
        <v>58.935824337527329</v>
      </c>
      <c r="W21" s="154">
        <v>0</v>
      </c>
      <c r="X21" s="154">
        <v>18.504577846478512</v>
      </c>
      <c r="Y21" s="154">
        <v>18.616970105563873</v>
      </c>
      <c r="Z21" s="154">
        <v>3.9426277104302865</v>
      </c>
    </row>
    <row r="22" spans="1:26" s="142" customFormat="1" ht="9.75" customHeight="1">
      <c r="A22" s="84" t="s">
        <v>27</v>
      </c>
      <c r="B22" s="155">
        <v>1028998</v>
      </c>
      <c r="C22" s="156">
        <v>91.931072752327992</v>
      </c>
      <c r="D22" s="154">
        <v>75.203187955661718</v>
      </c>
      <c r="E22" s="154">
        <v>8.0729991700664154</v>
      </c>
      <c r="F22" s="154">
        <v>8.6548856265998566</v>
      </c>
      <c r="G22" s="154">
        <v>7.989004837715914</v>
      </c>
      <c r="H22" s="157">
        <v>7.9922409956093204E-2</v>
      </c>
      <c r="I22" s="158">
        <v>871080.29999999993</v>
      </c>
      <c r="J22" s="154">
        <v>17.290300331668622</v>
      </c>
      <c r="K22" s="154">
        <v>77.2</v>
      </c>
      <c r="L22" s="154">
        <v>64.7</v>
      </c>
      <c r="M22" s="154">
        <v>12.5</v>
      </c>
      <c r="N22" s="154">
        <v>9.5619427967777497</v>
      </c>
      <c r="O22" s="154">
        <v>7.728357534890872</v>
      </c>
      <c r="P22" s="154">
        <v>5.4906648675213976</v>
      </c>
      <c r="Q22" s="154">
        <v>3.9</v>
      </c>
      <c r="R22" s="154">
        <v>1.6</v>
      </c>
      <c r="S22" s="157">
        <v>0</v>
      </c>
      <c r="T22" s="159">
        <v>155255.5</v>
      </c>
      <c r="U22" s="154">
        <v>77.327051215576901</v>
      </c>
      <c r="V22" s="154">
        <v>65.182553919184826</v>
      </c>
      <c r="W22" s="154">
        <v>0</v>
      </c>
      <c r="X22" s="154">
        <v>12.144497296392071</v>
      </c>
      <c r="Y22" s="154">
        <v>22.143241302240501</v>
      </c>
      <c r="Z22" s="154">
        <v>0.52970748218259578</v>
      </c>
    </row>
    <row r="23" spans="1:26" s="142" customFormat="1" ht="9.75" customHeight="1">
      <c r="A23" s="85" t="s">
        <v>12</v>
      </c>
      <c r="B23" s="155">
        <v>2280093.2000000002</v>
      </c>
      <c r="C23" s="156">
        <v>91.912883210212641</v>
      </c>
      <c r="D23" s="154">
        <v>69.410092534813941</v>
      </c>
      <c r="E23" s="154">
        <v>10.395811890496406</v>
      </c>
      <c r="F23" s="154">
        <v>12.106978784902299</v>
      </c>
      <c r="G23" s="154">
        <v>7.1311997246428325</v>
      </c>
      <c r="H23" s="157">
        <v>0.95591706514452979</v>
      </c>
      <c r="I23" s="158">
        <v>1727910.0000000005</v>
      </c>
      <c r="J23" s="154">
        <v>24.326139671626411</v>
      </c>
      <c r="K23" s="154">
        <v>73</v>
      </c>
      <c r="L23" s="154">
        <v>65.599999999999994</v>
      </c>
      <c r="M23" s="154">
        <v>7.4</v>
      </c>
      <c r="N23" s="154">
        <v>14.065709440885227</v>
      </c>
      <c r="O23" s="154">
        <v>10.260430230741184</v>
      </c>
      <c r="P23" s="154">
        <v>2.3799561319744647</v>
      </c>
      <c r="Q23" s="154">
        <v>1.5</v>
      </c>
      <c r="R23" s="154">
        <v>0.9</v>
      </c>
      <c r="S23" s="157">
        <v>0.26310398111012717</v>
      </c>
      <c r="T23" s="159">
        <v>530739.1</v>
      </c>
      <c r="U23" s="154">
        <v>76.374644340317118</v>
      </c>
      <c r="V23" s="154">
        <v>60.426733210347614</v>
      </c>
      <c r="W23" s="154">
        <v>0</v>
      </c>
      <c r="X23" s="154">
        <v>15.947911129969503</v>
      </c>
      <c r="Y23" s="154">
        <v>20.375246519429226</v>
      </c>
      <c r="Z23" s="154">
        <v>3.2501091402536573</v>
      </c>
    </row>
    <row r="24" spans="1:26" s="142" customFormat="1" ht="9.75" customHeight="1">
      <c r="A24" s="85" t="s">
        <v>52</v>
      </c>
      <c r="B24" s="155">
        <v>4799678.1000000015</v>
      </c>
      <c r="C24" s="156">
        <v>93.119792762768796</v>
      </c>
      <c r="D24" s="154">
        <v>61.479852159252076</v>
      </c>
      <c r="E24" s="154">
        <v>19.921223467048751</v>
      </c>
      <c r="F24" s="154">
        <v>11.718717136467967</v>
      </c>
      <c r="G24" s="154">
        <v>6.3181507943209763</v>
      </c>
      <c r="H24" s="157">
        <v>0.56205644291020251</v>
      </c>
      <c r="I24" s="158">
        <v>3241401.1000000006</v>
      </c>
      <c r="J24" s="154">
        <v>37.215783014326739</v>
      </c>
      <c r="K24" s="154">
        <v>60.9</v>
      </c>
      <c r="L24" s="154">
        <v>52.5</v>
      </c>
      <c r="M24" s="154">
        <v>8.4</v>
      </c>
      <c r="N24" s="154">
        <v>28.187733384800783</v>
      </c>
      <c r="O24" s="154">
        <v>9.028049629525956</v>
      </c>
      <c r="P24" s="154">
        <v>1.8627963074363116</v>
      </c>
      <c r="Q24" s="154">
        <v>1.6</v>
      </c>
      <c r="R24" s="154">
        <v>0.3</v>
      </c>
      <c r="S24" s="157">
        <v>2.5902379066879439E-2</v>
      </c>
      <c r="T24" s="159">
        <v>1481082.4999999998</v>
      </c>
      <c r="U24" s="154">
        <v>81.837102254600936</v>
      </c>
      <c r="V24" s="154">
        <v>65.963037170447961</v>
      </c>
      <c r="W24" s="154">
        <v>0</v>
      </c>
      <c r="X24" s="154">
        <v>15.874065084152976</v>
      </c>
      <c r="Y24" s="154">
        <v>16.398154728045199</v>
      </c>
      <c r="Z24" s="154">
        <v>1.7647430173538614</v>
      </c>
    </row>
    <row r="25" spans="1:26" s="142" customFormat="1" ht="9.75" customHeight="1">
      <c r="A25" s="85" t="s">
        <v>53</v>
      </c>
      <c r="B25" s="155">
        <v>1306610.9999999998</v>
      </c>
      <c r="C25" s="156">
        <v>95.727427673576912</v>
      </c>
      <c r="D25" s="154">
        <v>72.468822013590881</v>
      </c>
      <c r="E25" s="154">
        <v>16.084167361211566</v>
      </c>
      <c r="F25" s="154">
        <v>7.1744382987744642</v>
      </c>
      <c r="G25" s="154">
        <v>3.9814374745046544</v>
      </c>
      <c r="H25" s="157">
        <v>0.29113485191843635</v>
      </c>
      <c r="I25" s="158">
        <v>1052176.3999999999</v>
      </c>
      <c r="J25" s="154">
        <v>24.884306471804539</v>
      </c>
      <c r="K25" s="154">
        <v>73.8</v>
      </c>
      <c r="L25" s="154">
        <v>67.400000000000006</v>
      </c>
      <c r="M25" s="154">
        <v>6.4</v>
      </c>
      <c r="N25" s="154">
        <v>18.626002255895497</v>
      </c>
      <c r="O25" s="154">
        <v>6.2583042159090434</v>
      </c>
      <c r="P25" s="154">
        <v>1.349431521178388</v>
      </c>
      <c r="Q25" s="154">
        <v>1.3</v>
      </c>
      <c r="R25" s="154">
        <v>0.1</v>
      </c>
      <c r="S25" s="157">
        <v>1.3828479711196717E-2</v>
      </c>
      <c r="T25" s="159">
        <v>248841.30000000002</v>
      </c>
      <c r="U25" s="154">
        <v>83.329937594764218</v>
      </c>
      <c r="V25" s="154">
        <v>68.670232794958068</v>
      </c>
      <c r="W25" s="154">
        <v>0</v>
      </c>
      <c r="X25" s="154">
        <v>14.65970479980615</v>
      </c>
      <c r="Y25" s="154">
        <v>15.199848256700152</v>
      </c>
      <c r="Z25" s="154">
        <v>1.4702141485356328</v>
      </c>
    </row>
    <row r="26" spans="1:26" s="142" customFormat="1" ht="9.75" customHeight="1">
      <c r="A26" s="85" t="s">
        <v>13</v>
      </c>
      <c r="B26" s="155">
        <v>598894.49999999988</v>
      </c>
      <c r="C26" s="156">
        <v>95.763410750975353</v>
      </c>
      <c r="D26" s="154">
        <v>64.741552978028693</v>
      </c>
      <c r="E26" s="154">
        <v>21.204185378226054</v>
      </c>
      <c r="F26" s="154">
        <v>9.8176723947206046</v>
      </c>
      <c r="G26" s="154">
        <v>4.1389092736700706</v>
      </c>
      <c r="H26" s="157">
        <v>9.7679975354590859E-2</v>
      </c>
      <c r="I26" s="158">
        <v>520827.69999999995</v>
      </c>
      <c r="J26" s="154">
        <v>32.266928199095403</v>
      </c>
      <c r="K26" s="154">
        <v>65.3</v>
      </c>
      <c r="L26" s="154">
        <v>58.8</v>
      </c>
      <c r="M26" s="154">
        <v>6.6</v>
      </c>
      <c r="N26" s="154">
        <v>23.489687664461776</v>
      </c>
      <c r="O26" s="154">
        <v>8.7772405346336271</v>
      </c>
      <c r="P26" s="154">
        <v>2.3833409782160202</v>
      </c>
      <c r="Q26" s="154">
        <v>1.5</v>
      </c>
      <c r="R26" s="154">
        <v>0.9</v>
      </c>
      <c r="S26" s="157">
        <v>0</v>
      </c>
      <c r="T26" s="159">
        <v>74421.600000000006</v>
      </c>
      <c r="U26" s="154">
        <v>82.642872317824526</v>
      </c>
      <c r="V26" s="154">
        <v>63.70003738036268</v>
      </c>
      <c r="W26" s="154">
        <v>0</v>
      </c>
      <c r="X26" s="154">
        <v>18.942834937461843</v>
      </c>
      <c r="Y26" s="154">
        <v>16.639102010740803</v>
      </c>
      <c r="Z26" s="154">
        <v>0.71802567143467977</v>
      </c>
    </row>
    <row r="27" spans="1:26" s="142" customFormat="1" ht="9.75" customHeight="1">
      <c r="A27" s="85" t="s">
        <v>14</v>
      </c>
      <c r="B27" s="155">
        <v>2605842.6999999997</v>
      </c>
      <c r="C27" s="156">
        <v>96.964152901477917</v>
      </c>
      <c r="D27" s="154">
        <v>58.397442792690448</v>
      </c>
      <c r="E27" s="154">
        <v>24.470682746890294</v>
      </c>
      <c r="F27" s="154">
        <v>14.096027361897166</v>
      </c>
      <c r="G27" s="154">
        <v>2.9068178213519955</v>
      </c>
      <c r="H27" s="157">
        <v>0.12902927717010701</v>
      </c>
      <c r="I27" s="158">
        <v>2098399.2000000002</v>
      </c>
      <c r="J27" s="154">
        <v>40.580734113890237</v>
      </c>
      <c r="K27" s="154">
        <v>57.2</v>
      </c>
      <c r="L27" s="154">
        <v>53.2</v>
      </c>
      <c r="M27" s="154">
        <v>4</v>
      </c>
      <c r="N27" s="154">
        <v>30.311029474277337</v>
      </c>
      <c r="O27" s="154">
        <v>10.269704639612902</v>
      </c>
      <c r="P27" s="154">
        <v>2.2083738880571437</v>
      </c>
      <c r="Q27" s="154">
        <v>1.6</v>
      </c>
      <c r="R27" s="154">
        <v>0.6</v>
      </c>
      <c r="S27" s="157">
        <v>0</v>
      </c>
      <c r="T27" s="159">
        <v>434327.8</v>
      </c>
      <c r="U27" s="154">
        <v>92.563059514035245</v>
      </c>
      <c r="V27" s="154">
        <v>73.960865502968034</v>
      </c>
      <c r="W27" s="154">
        <v>0</v>
      </c>
      <c r="X27" s="154">
        <v>18.602194011067219</v>
      </c>
      <c r="Y27" s="154">
        <v>6.6628016903361935</v>
      </c>
      <c r="Z27" s="154">
        <v>0.77413879562855525</v>
      </c>
    </row>
    <row r="28" spans="1:26" s="142" customFormat="1" ht="9.75" customHeight="1">
      <c r="A28" s="85" t="s">
        <v>28</v>
      </c>
      <c r="B28" s="155">
        <v>274300.60000000003</v>
      </c>
      <c r="C28" s="156">
        <v>93.810731730080064</v>
      </c>
      <c r="D28" s="154">
        <v>66.653919094599132</v>
      </c>
      <c r="E28" s="154">
        <v>17.250454428462785</v>
      </c>
      <c r="F28" s="154">
        <v>9.9063582070181404</v>
      </c>
      <c r="G28" s="154">
        <v>5.8898886841662019</v>
      </c>
      <c r="H28" s="157">
        <v>0.29937958575373147</v>
      </c>
      <c r="I28" s="158">
        <v>223042.2</v>
      </c>
      <c r="J28" s="154">
        <v>28.6486144774397</v>
      </c>
      <c r="K28" s="154">
        <v>68.7</v>
      </c>
      <c r="L28" s="154">
        <v>61.6</v>
      </c>
      <c r="M28" s="154">
        <v>7</v>
      </c>
      <c r="N28" s="154">
        <v>17.727317969424618</v>
      </c>
      <c r="O28" s="154">
        <v>10.921296508015081</v>
      </c>
      <c r="P28" s="154">
        <v>2.6654148856135746</v>
      </c>
      <c r="Q28" s="154">
        <v>2.5</v>
      </c>
      <c r="R28" s="154">
        <v>0.1</v>
      </c>
      <c r="S28" s="157">
        <v>1.5512759468835942E-2</v>
      </c>
      <c r="T28" s="159">
        <v>48567.7</v>
      </c>
      <c r="U28" s="154">
        <v>77.356144104003278</v>
      </c>
      <c r="V28" s="154">
        <v>61.085865709102968</v>
      </c>
      <c r="W28" s="154">
        <v>0</v>
      </c>
      <c r="X28" s="154">
        <v>16.270278394900313</v>
      </c>
      <c r="Y28" s="154">
        <v>21.024260980034057</v>
      </c>
      <c r="Z28" s="154">
        <v>1.6195949159626666</v>
      </c>
    </row>
    <row r="29" spans="1:26" s="160" customFormat="1" ht="9.75" customHeight="1">
      <c r="A29" s="86" t="s">
        <v>51</v>
      </c>
      <c r="B29" s="147">
        <v>3145772.1000000006</v>
      </c>
      <c r="C29" s="148">
        <v>92.764367768408903</v>
      </c>
      <c r="D29" s="149">
        <v>36.827925328729307</v>
      </c>
      <c r="E29" s="149">
        <v>0</v>
      </c>
      <c r="F29" s="149">
        <v>55.936442439679595</v>
      </c>
      <c r="G29" s="149">
        <v>7.1259357917250252</v>
      </c>
      <c r="H29" s="150">
        <v>0.10969643986606657</v>
      </c>
      <c r="I29" s="151">
        <v>2507789.7500000005</v>
      </c>
      <c r="J29" s="149">
        <v>93.912177107351198</v>
      </c>
      <c r="K29" s="149">
        <v>43.4</v>
      </c>
      <c r="L29" s="152" t="s">
        <v>71</v>
      </c>
      <c r="M29" s="152" t="s">
        <v>71</v>
      </c>
      <c r="N29" s="149">
        <v>0</v>
      </c>
      <c r="O29" s="149">
        <v>50.512177107351199</v>
      </c>
      <c r="P29" s="149">
        <v>5.9612154487831344</v>
      </c>
      <c r="Q29" s="152" t="s">
        <v>71</v>
      </c>
      <c r="R29" s="152" t="s">
        <v>71</v>
      </c>
      <c r="S29" s="150">
        <v>7.9907017723475401E-2</v>
      </c>
      <c r="T29" s="153">
        <v>15439.800000000001</v>
      </c>
      <c r="U29" s="149">
        <v>99.026541794582826</v>
      </c>
      <c r="V29" s="149">
        <v>74.280107255275325</v>
      </c>
      <c r="W29" s="149">
        <v>0</v>
      </c>
      <c r="X29" s="149">
        <v>24.746434539307501</v>
      </c>
      <c r="Y29" s="149">
        <v>0.90156608246220815</v>
      </c>
      <c r="Z29" s="149">
        <v>7.1892122954960558E-2</v>
      </c>
    </row>
    <row r="30" spans="1:26" s="160" customFormat="1" ht="9.75" customHeight="1">
      <c r="A30" s="86" t="s">
        <v>112</v>
      </c>
      <c r="B30" s="155">
        <v>110304.30000000002</v>
      </c>
      <c r="C30" s="148"/>
      <c r="D30" s="161"/>
      <c r="E30" s="161"/>
      <c r="F30" s="161"/>
      <c r="G30" s="161"/>
      <c r="H30" s="150"/>
      <c r="I30" s="162">
        <v>-211544.9</v>
      </c>
      <c r="L30" s="161"/>
      <c r="N30" s="149"/>
      <c r="O30" s="161"/>
      <c r="P30" s="163"/>
      <c r="Q30" s="163"/>
      <c r="R30" s="161"/>
      <c r="S30" s="161"/>
      <c r="T30" s="161"/>
      <c r="U30" s="163"/>
      <c r="V30" s="163"/>
      <c r="W30" s="161"/>
    </row>
    <row r="31" spans="1:26" ht="9.75" customHeight="1">
      <c r="B31" s="9"/>
      <c r="C31" s="9"/>
      <c r="D31" s="9"/>
      <c r="E31" s="9"/>
      <c r="F31" s="9"/>
      <c r="G31" s="9"/>
      <c r="H31" s="9"/>
      <c r="I31" s="9"/>
    </row>
    <row r="32" spans="1:26" s="9" customFormat="1" ht="9.75" customHeight="1">
      <c r="A32" s="9" t="s">
        <v>48</v>
      </c>
    </row>
    <row r="33" spans="1:1" s="9" customFormat="1" ht="9.75" customHeight="1">
      <c r="A33" s="18" t="s">
        <v>50</v>
      </c>
    </row>
    <row r="34" spans="1:1" s="2" customFormat="1" ht="11.25"/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48"/>
  <sheetViews>
    <sheetView zoomScaleNormal="100" workbookViewId="0"/>
  </sheetViews>
  <sheetFormatPr baseColWidth="10" defaultColWidth="11.42578125" defaultRowHeight="12.95" customHeight="1"/>
  <cols>
    <col min="1" max="1" width="26.5703125" style="21" customWidth="1"/>
    <col min="2" max="2" width="10.42578125" style="21" bestFit="1" customWidth="1"/>
    <col min="3" max="3" width="11.85546875" style="21" bestFit="1" customWidth="1"/>
    <col min="4" max="4" width="6.140625" style="21" customWidth="1"/>
    <col min="5" max="5" width="14.5703125" style="21" customWidth="1"/>
    <col min="6" max="6" width="10.85546875" style="21" customWidth="1"/>
    <col min="7" max="16384" width="11.42578125" style="21"/>
  </cols>
  <sheetData>
    <row r="1" spans="1:7" ht="27.75">
      <c r="A1" s="53" t="s">
        <v>67</v>
      </c>
      <c r="B1" s="54" t="s">
        <v>22</v>
      </c>
      <c r="C1" s="54" t="s">
        <v>30</v>
      </c>
      <c r="E1" s="53" t="s">
        <v>68</v>
      </c>
      <c r="F1" s="54" t="s">
        <v>29</v>
      </c>
    </row>
    <row r="2" spans="1:7" ht="12.95" customHeight="1">
      <c r="A2" s="5" t="s">
        <v>72</v>
      </c>
      <c r="B2" s="52">
        <v>4.5360476285401168</v>
      </c>
      <c r="C2" s="52">
        <v>1.6271237110182182</v>
      </c>
      <c r="E2" s="5" t="s">
        <v>72</v>
      </c>
      <c r="F2" s="52">
        <v>5.0749473749142187</v>
      </c>
      <c r="G2" s="43"/>
    </row>
    <row r="3" spans="1:7" ht="12.95" customHeight="1">
      <c r="A3" s="27" t="s">
        <v>9</v>
      </c>
      <c r="B3" s="52">
        <v>15.248625390038194</v>
      </c>
      <c r="C3" s="52">
        <v>15.903632051301654</v>
      </c>
      <c r="E3" s="27" t="s">
        <v>9</v>
      </c>
      <c r="F3" s="52">
        <v>17.185612340100697</v>
      </c>
      <c r="G3" s="43"/>
    </row>
    <row r="4" spans="1:7" ht="12.95" customHeight="1">
      <c r="A4" s="26" t="s">
        <v>23</v>
      </c>
      <c r="B4" s="52">
        <v>2.4022074118861712</v>
      </c>
      <c r="C4" s="52">
        <v>2.444128897836813</v>
      </c>
      <c r="E4" s="26" t="s">
        <v>23</v>
      </c>
      <c r="F4" s="52">
        <v>2.8610986884209377</v>
      </c>
      <c r="G4" s="43"/>
    </row>
    <row r="5" spans="1:7" ht="12.95" customHeight="1">
      <c r="A5" s="27" t="s">
        <v>45</v>
      </c>
      <c r="B5" s="52">
        <v>1.9493902042054851</v>
      </c>
      <c r="C5" s="52">
        <v>1.8798416314822697</v>
      </c>
      <c r="E5" s="27" t="s">
        <v>45</v>
      </c>
      <c r="F5" s="52">
        <v>2.0854299835763466</v>
      </c>
      <c r="G5" s="43"/>
    </row>
    <row r="6" spans="1:7" ht="12.95" customHeight="1">
      <c r="A6" s="27" t="s">
        <v>46</v>
      </c>
      <c r="B6" s="52">
        <v>1.7184161367281809</v>
      </c>
      <c r="C6" s="52">
        <v>2.105072487319557</v>
      </c>
      <c r="E6" s="27" t="s">
        <v>46</v>
      </c>
      <c r="F6" s="52">
        <v>0.90511292225366435</v>
      </c>
      <c r="G6" s="43"/>
    </row>
    <row r="7" spans="1:7" ht="12.95" customHeight="1">
      <c r="A7" s="27" t="s">
        <v>10</v>
      </c>
      <c r="B7" s="52">
        <v>3.5416987894939571</v>
      </c>
      <c r="C7" s="52">
        <v>3.9518937211010399</v>
      </c>
      <c r="E7" s="27" t="s">
        <v>10</v>
      </c>
      <c r="F7" s="52">
        <v>3.0267906022777211</v>
      </c>
      <c r="G7" s="43"/>
    </row>
    <row r="8" spans="1:7" ht="12.95" customHeight="1">
      <c r="A8" s="26" t="s">
        <v>24</v>
      </c>
      <c r="B8" s="52">
        <v>1.1101263561218908</v>
      </c>
      <c r="C8" s="52">
        <v>1.1972267060550263</v>
      </c>
      <c r="E8" s="26" t="s">
        <v>24</v>
      </c>
      <c r="F8" s="52">
        <v>1.1550628031243493</v>
      </c>
      <c r="G8" s="43"/>
    </row>
    <row r="9" spans="1:7" ht="12.95" customHeight="1">
      <c r="A9" s="26" t="s">
        <v>25</v>
      </c>
      <c r="B9" s="52">
        <v>4.7461140054797459</v>
      </c>
      <c r="C9" s="52">
        <v>4.9227692449291283</v>
      </c>
      <c r="E9" s="26" t="s">
        <v>25</v>
      </c>
      <c r="F9" s="52">
        <v>5.4926430901141936</v>
      </c>
      <c r="G9" s="43"/>
    </row>
    <row r="10" spans="1:7" ht="12.95" customHeight="1">
      <c r="A10" s="26" t="s">
        <v>26</v>
      </c>
      <c r="B10" s="52">
        <v>3.9737572047391199</v>
      </c>
      <c r="C10" s="52">
        <v>4.8182531359787149</v>
      </c>
      <c r="E10" s="26" t="s">
        <v>26</v>
      </c>
      <c r="F10" s="52">
        <v>2.3203489447995618</v>
      </c>
      <c r="G10" s="43"/>
    </row>
    <row r="11" spans="1:7" ht="12.95" customHeight="1">
      <c r="A11" s="26" t="s">
        <v>11</v>
      </c>
      <c r="B11" s="52">
        <v>13.37506515000403</v>
      </c>
      <c r="C11" s="52">
        <v>14.082665173667889</v>
      </c>
      <c r="E11" s="26" t="s">
        <v>11</v>
      </c>
      <c r="F11" s="52">
        <v>14.591431749311823</v>
      </c>
      <c r="G11" s="43"/>
    </row>
    <row r="12" spans="1:7" ht="12.95" customHeight="1">
      <c r="A12" s="28" t="s">
        <v>58</v>
      </c>
      <c r="B12" s="52">
        <v>9.5909955957296287</v>
      </c>
      <c r="C12" s="52">
        <v>9.7699178638834656</v>
      </c>
      <c r="E12" s="28" t="s">
        <v>58</v>
      </c>
      <c r="F12" s="52">
        <v>11.991194454511103</v>
      </c>
      <c r="G12" s="43"/>
    </row>
    <row r="13" spans="1:7" ht="12.95" customHeight="1">
      <c r="A13" s="26" t="s">
        <v>27</v>
      </c>
      <c r="B13" s="52">
        <v>2.1189386245969835</v>
      </c>
      <c r="C13" s="52">
        <v>2.4518199694189509</v>
      </c>
      <c r="E13" s="26" t="s">
        <v>27</v>
      </c>
      <c r="F13" s="52">
        <v>1.5465847668689421</v>
      </c>
      <c r="G13" s="43"/>
    </row>
    <row r="14" spans="1:7" ht="12.95" customHeight="1">
      <c r="A14" s="26" t="s">
        <v>12</v>
      </c>
      <c r="B14" s="52">
        <v>5.1956353445281875</v>
      </c>
      <c r="C14" s="52">
        <v>5.3802665838454837</v>
      </c>
      <c r="E14" s="26" t="s">
        <v>12</v>
      </c>
      <c r="F14" s="52">
        <v>5.8648836465136336</v>
      </c>
      <c r="G14" s="43"/>
    </row>
    <row r="15" spans="1:7" ht="12.95" customHeight="1">
      <c r="A15" s="27" t="s">
        <v>41</v>
      </c>
      <c r="B15" s="52">
        <v>10.684574558398046</v>
      </c>
      <c r="C15" s="52">
        <v>9.5226975811970274</v>
      </c>
      <c r="E15" s="27" t="s">
        <v>41</v>
      </c>
      <c r="F15" s="52">
        <v>17.148069256926078</v>
      </c>
      <c r="G15" s="43"/>
    </row>
    <row r="16" spans="1:7" ht="12.95" customHeight="1">
      <c r="A16" s="27" t="s">
        <v>42</v>
      </c>
      <c r="B16" s="52">
        <v>2.8461445642658654</v>
      </c>
      <c r="C16" s="52">
        <v>3.1189310503957364</v>
      </c>
      <c r="E16" s="27" t="s">
        <v>42</v>
      </c>
      <c r="F16" s="52">
        <v>2.706150580996368</v>
      </c>
      <c r="G16" s="43"/>
    </row>
    <row r="17" spans="1:11" ht="12.95" customHeight="1">
      <c r="A17" s="27" t="s">
        <v>43</v>
      </c>
      <c r="B17" s="52">
        <v>1.3302030935600697</v>
      </c>
      <c r="C17" s="52">
        <v>1.5592102616687462</v>
      </c>
      <c r="E17" s="27" t="s">
        <v>43</v>
      </c>
      <c r="F17" s="52">
        <v>0.9040257226792916</v>
      </c>
      <c r="G17" s="43"/>
    </row>
    <row r="18" spans="1:11" ht="12.95" customHeight="1">
      <c r="A18" s="27" t="s">
        <v>14</v>
      </c>
      <c r="B18" s="52">
        <v>5.2914312644464836</v>
      </c>
      <c r="C18" s="52">
        <v>5.8482813872627748</v>
      </c>
      <c r="E18" s="27" t="s">
        <v>14</v>
      </c>
      <c r="F18" s="52">
        <v>4.533160550847783</v>
      </c>
      <c r="G18" s="43"/>
    </row>
    <row r="19" spans="1:11" ht="12.95" customHeight="1">
      <c r="A19" s="27" t="s">
        <v>28</v>
      </c>
      <c r="B19" s="52">
        <v>0.53642176539048958</v>
      </c>
      <c r="C19" s="52">
        <v>0.6097762840497315</v>
      </c>
      <c r="E19" s="27" t="s">
        <v>28</v>
      </c>
      <c r="F19" s="52">
        <v>0.44219433114094264</v>
      </c>
      <c r="G19" s="43"/>
    </row>
    <row r="20" spans="1:11" ht="12.95" customHeight="1">
      <c r="A20" s="20" t="s">
        <v>40</v>
      </c>
      <c r="B20" s="52">
        <v>9.8042069118473414</v>
      </c>
      <c r="C20" s="52">
        <v>8.8064922575877596</v>
      </c>
      <c r="E20" s="20" t="s">
        <v>40</v>
      </c>
      <c r="F20" s="52">
        <v>0.16525819062232536</v>
      </c>
      <c r="G20" s="43"/>
    </row>
    <row r="21" spans="1:11" ht="12.95" customHeight="1" thickBot="1"/>
    <row r="22" spans="1:11" ht="48.75" customHeight="1">
      <c r="A22" s="56" t="s">
        <v>69</v>
      </c>
      <c r="B22" s="30" t="s">
        <v>6</v>
      </c>
      <c r="C22" s="30" t="s">
        <v>44</v>
      </c>
      <c r="D22" s="30" t="s">
        <v>7</v>
      </c>
      <c r="E22" s="30" t="s">
        <v>18</v>
      </c>
      <c r="F22" s="55" t="s">
        <v>70</v>
      </c>
      <c r="G22" s="30" t="s">
        <v>6</v>
      </c>
      <c r="H22" s="30" t="s">
        <v>44</v>
      </c>
      <c r="I22" s="30" t="s">
        <v>7</v>
      </c>
      <c r="J22" s="30" t="s">
        <v>18</v>
      </c>
    </row>
    <row r="23" spans="1:11" ht="11.1" customHeight="1">
      <c r="A23" s="27" t="s">
        <v>14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60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" customHeight="1">
      <c r="A24" s="26" t="s">
        <v>11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9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" customHeight="1">
      <c r="A25" s="26" t="s">
        <v>58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23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" customHeight="1">
      <c r="A26" s="26" t="s">
        <v>43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45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" customHeight="1">
      <c r="A27" s="27" t="s">
        <v>41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46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" customHeight="1">
      <c r="A28" s="2" t="s">
        <v>28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10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" customHeight="1">
      <c r="A29" s="26" t="s">
        <v>24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24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" customHeight="1">
      <c r="A30" s="26" t="s">
        <v>25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25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" customHeight="1">
      <c r="A31" s="27" t="s">
        <v>46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26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" customHeight="1">
      <c r="A32" s="28" t="s">
        <v>23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11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" customHeight="1">
      <c r="A33" s="5" t="s">
        <v>72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58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" customHeight="1">
      <c r="A34" s="27" t="s">
        <v>12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27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" customHeight="1">
      <c r="A35" s="26" t="s">
        <v>9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12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" customHeight="1">
      <c r="A36" s="26" t="s">
        <v>42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41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" customHeight="1">
      <c r="A37" s="27" t="s">
        <v>45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42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26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43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27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14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10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28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51" t="s">
        <v>56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3" zoomScaleNormal="100" zoomScalePageLayoutView="85" workbookViewId="0">
      <selection activeCell="G14" sqref="G14"/>
    </sheetView>
  </sheetViews>
  <sheetFormatPr baseColWidth="10" defaultRowHeight="12.75"/>
  <cols>
    <col min="1" max="1" width="19.28515625" customWidth="1"/>
  </cols>
  <sheetData>
    <row r="1" spans="1:6">
      <c r="A1" s="97" t="s">
        <v>107</v>
      </c>
      <c r="B1" s="98"/>
      <c r="C1" s="98"/>
      <c r="D1" s="98"/>
      <c r="E1" s="98"/>
    </row>
    <row r="2" spans="1:6" ht="10.15" customHeight="1" thickBot="1">
      <c r="A2" s="99"/>
      <c r="B2" s="98"/>
      <c r="C2" s="98"/>
      <c r="D2" s="98"/>
      <c r="E2" s="98"/>
    </row>
    <row r="3" spans="1:6" ht="33" customHeight="1">
      <c r="A3" s="231"/>
      <c r="B3" s="233" t="s">
        <v>65</v>
      </c>
      <c r="C3" s="234"/>
      <c r="D3" s="233" t="s">
        <v>66</v>
      </c>
      <c r="E3" s="233"/>
      <c r="F3" s="136"/>
    </row>
    <row r="4" spans="1:6">
      <c r="A4" s="232"/>
      <c r="B4" s="117">
        <v>2014</v>
      </c>
      <c r="C4" s="118">
        <v>2015</v>
      </c>
      <c r="D4" s="117">
        <v>2014</v>
      </c>
      <c r="E4" s="117">
        <v>2015</v>
      </c>
      <c r="F4" s="136"/>
    </row>
    <row r="5" spans="1:6">
      <c r="A5" s="100"/>
      <c r="B5" s="101"/>
      <c r="C5" s="116"/>
      <c r="D5" s="101"/>
      <c r="E5" s="101"/>
    </row>
    <row r="6" spans="1:6">
      <c r="A6" s="102" t="s">
        <v>111</v>
      </c>
      <c r="B6" s="119">
        <v>4537</v>
      </c>
      <c r="C6" s="134">
        <v>4743</v>
      </c>
      <c r="D6" s="119">
        <v>5169</v>
      </c>
      <c r="E6" s="119">
        <v>5436</v>
      </c>
    </row>
    <row r="7" spans="1:6">
      <c r="A7" s="100" t="s">
        <v>9</v>
      </c>
      <c r="B7" s="120">
        <v>4042</v>
      </c>
      <c r="C7" s="135">
        <v>4220</v>
      </c>
      <c r="D7" s="120">
        <v>4510</v>
      </c>
      <c r="E7" s="120">
        <v>4735</v>
      </c>
    </row>
    <row r="8" spans="1:6">
      <c r="A8" s="100" t="s">
        <v>23</v>
      </c>
      <c r="B8" s="120">
        <v>4707</v>
      </c>
      <c r="C8" s="135">
        <v>4891</v>
      </c>
      <c r="D8" s="120">
        <v>5372</v>
      </c>
      <c r="E8" s="120">
        <v>5631</v>
      </c>
    </row>
    <row r="9" spans="1:6">
      <c r="A9" s="100" t="s">
        <v>57</v>
      </c>
      <c r="B9" s="120">
        <v>5530</v>
      </c>
      <c r="C9" s="135">
        <v>5747</v>
      </c>
      <c r="D9" s="120">
        <v>6435</v>
      </c>
      <c r="E9" s="120">
        <v>6679</v>
      </c>
    </row>
    <row r="10" spans="1:6">
      <c r="A10" s="100" t="s">
        <v>36</v>
      </c>
      <c r="B10" s="120">
        <v>4808</v>
      </c>
      <c r="C10" s="135">
        <v>5102</v>
      </c>
      <c r="D10" s="120">
        <v>5592</v>
      </c>
      <c r="E10" s="120">
        <v>5917</v>
      </c>
    </row>
    <row r="11" spans="1:6">
      <c r="A11" s="100" t="s">
        <v>10</v>
      </c>
      <c r="B11" s="120">
        <v>4539</v>
      </c>
      <c r="C11" s="135">
        <v>4627</v>
      </c>
      <c r="D11" s="120">
        <v>5017</v>
      </c>
      <c r="E11" s="120">
        <v>5102</v>
      </c>
    </row>
    <row r="12" spans="1:6">
      <c r="A12" s="100" t="s">
        <v>24</v>
      </c>
      <c r="B12" s="120">
        <v>5623</v>
      </c>
      <c r="C12" s="135">
        <v>5644</v>
      </c>
      <c r="D12" s="120">
        <v>6539</v>
      </c>
      <c r="E12" s="120">
        <v>6595</v>
      </c>
    </row>
    <row r="13" spans="1:6">
      <c r="A13" s="100" t="s">
        <v>25</v>
      </c>
      <c r="B13" s="120">
        <v>5109</v>
      </c>
      <c r="C13" s="135">
        <v>5372</v>
      </c>
      <c r="D13" s="120">
        <v>5981</v>
      </c>
      <c r="E13" s="120">
        <v>6399</v>
      </c>
    </row>
    <row r="14" spans="1:6">
      <c r="A14" s="100" t="s">
        <v>26</v>
      </c>
      <c r="B14" s="120">
        <v>4295</v>
      </c>
      <c r="C14" s="135">
        <v>4545</v>
      </c>
      <c r="D14" s="120">
        <v>4591</v>
      </c>
      <c r="E14" s="120">
        <v>4885</v>
      </c>
    </row>
    <row r="15" spans="1:6">
      <c r="A15" s="100" t="s">
        <v>11</v>
      </c>
      <c r="B15" s="120">
        <v>4198</v>
      </c>
      <c r="C15" s="135">
        <v>4580</v>
      </c>
      <c r="D15" s="120">
        <v>4746</v>
      </c>
      <c r="E15" s="120">
        <v>5197</v>
      </c>
    </row>
    <row r="16" spans="1:6">
      <c r="A16" s="100" t="s">
        <v>58</v>
      </c>
      <c r="B16" s="120">
        <v>4449</v>
      </c>
      <c r="C16" s="135">
        <v>4628</v>
      </c>
      <c r="D16" s="120">
        <v>4995</v>
      </c>
      <c r="E16" s="120">
        <v>5246</v>
      </c>
    </row>
    <row r="17" spans="1:5">
      <c r="A17" s="100" t="s">
        <v>27</v>
      </c>
      <c r="B17" s="120">
        <v>5276</v>
      </c>
      <c r="C17" s="135">
        <v>5595</v>
      </c>
      <c r="D17" s="120">
        <v>5881</v>
      </c>
      <c r="E17" s="120">
        <v>6255</v>
      </c>
    </row>
    <row r="18" spans="1:5">
      <c r="A18" s="100" t="s">
        <v>12</v>
      </c>
      <c r="B18" s="120">
        <v>5404</v>
      </c>
      <c r="C18" s="135">
        <v>5585</v>
      </c>
      <c r="D18" s="120">
        <v>6241</v>
      </c>
      <c r="E18" s="120">
        <v>6460</v>
      </c>
    </row>
    <row r="19" spans="1:5">
      <c r="A19" s="100" t="s">
        <v>52</v>
      </c>
      <c r="B19" s="120">
        <v>3857</v>
      </c>
      <c r="C19" s="135">
        <v>3957</v>
      </c>
      <c r="D19" s="120">
        <v>4443</v>
      </c>
      <c r="E19" s="120">
        <v>4593</v>
      </c>
    </row>
    <row r="20" spans="1:5">
      <c r="A20" s="100" t="s">
        <v>53</v>
      </c>
      <c r="B20" s="120">
        <v>4352</v>
      </c>
      <c r="C20" s="135">
        <v>4545</v>
      </c>
      <c r="D20" s="120">
        <v>4841</v>
      </c>
      <c r="E20" s="120">
        <v>5074</v>
      </c>
    </row>
    <row r="21" spans="1:5">
      <c r="A21" s="100" t="s">
        <v>13</v>
      </c>
      <c r="B21" s="120">
        <v>5692</v>
      </c>
      <c r="C21" s="135">
        <v>5731</v>
      </c>
      <c r="D21" s="120">
        <v>6866</v>
      </c>
      <c r="E21" s="120">
        <v>6951</v>
      </c>
    </row>
    <row r="22" spans="1:5">
      <c r="A22" s="100" t="s">
        <v>14</v>
      </c>
      <c r="B22" s="120">
        <v>6448</v>
      </c>
      <c r="C22" s="135">
        <v>6437</v>
      </c>
      <c r="D22" s="120">
        <v>8976</v>
      </c>
      <c r="E22" s="120">
        <v>8973</v>
      </c>
    </row>
    <row r="23" spans="1:5">
      <c r="A23" s="100" t="s">
        <v>28</v>
      </c>
      <c r="B23" s="120">
        <v>4827</v>
      </c>
      <c r="C23" s="135">
        <v>5004</v>
      </c>
      <c r="D23" s="120">
        <v>5649</v>
      </c>
      <c r="E23" s="120">
        <v>5863</v>
      </c>
    </row>
    <row r="24" spans="1:5">
      <c r="A24" s="100"/>
      <c r="B24" s="101"/>
      <c r="C24" s="101"/>
      <c r="D24" s="98"/>
      <c r="E24" s="98"/>
    </row>
    <row r="25" spans="1:5">
      <c r="A25" s="103" t="s">
        <v>108</v>
      </c>
      <c r="B25" s="101"/>
      <c r="C25" s="101"/>
      <c r="D25" s="98"/>
      <c r="E25" s="98"/>
    </row>
    <row r="26" spans="1:5">
      <c r="A26" s="100" t="s">
        <v>109</v>
      </c>
      <c r="B26" s="98"/>
      <c r="C26" s="98"/>
      <c r="D26" s="98"/>
      <c r="E26" s="98"/>
    </row>
    <row r="27" spans="1:5">
      <c r="A27" s="103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Normal="100" workbookViewId="0">
      <selection activeCell="A28" sqref="A28"/>
    </sheetView>
  </sheetViews>
  <sheetFormatPr baseColWidth="10" defaultRowHeight="12" customHeight="1"/>
  <cols>
    <col min="1" max="1" width="19" style="170" customWidth="1"/>
    <col min="2" max="2" width="10.140625" style="170" customWidth="1"/>
    <col min="3" max="3" width="6.7109375" style="170" customWidth="1"/>
    <col min="4" max="5" width="8.7109375" style="170" customWidth="1"/>
    <col min="6" max="7" width="9.5703125" style="170" customWidth="1"/>
    <col min="8" max="10" width="8.7109375" style="170" customWidth="1"/>
    <col min="11" max="257" width="11.5703125" style="170"/>
    <col min="258" max="258" width="19" style="170" customWidth="1"/>
    <col min="259" max="259" width="10.140625" style="170" customWidth="1"/>
    <col min="260" max="262" width="8.7109375" style="170" customWidth="1"/>
    <col min="263" max="263" width="9.5703125" style="170" customWidth="1"/>
    <col min="264" max="266" width="8.7109375" style="170" customWidth="1"/>
    <col min="267" max="513" width="11.5703125" style="170"/>
    <col min="514" max="514" width="19" style="170" customWidth="1"/>
    <col min="515" max="515" width="10.140625" style="170" customWidth="1"/>
    <col min="516" max="518" width="8.7109375" style="170" customWidth="1"/>
    <col min="519" max="519" width="9.5703125" style="170" customWidth="1"/>
    <col min="520" max="522" width="8.7109375" style="170" customWidth="1"/>
    <col min="523" max="769" width="11.5703125" style="170"/>
    <col min="770" max="770" width="19" style="170" customWidth="1"/>
    <col min="771" max="771" width="10.140625" style="170" customWidth="1"/>
    <col min="772" max="774" width="8.7109375" style="170" customWidth="1"/>
    <col min="775" max="775" width="9.5703125" style="170" customWidth="1"/>
    <col min="776" max="778" width="8.7109375" style="170" customWidth="1"/>
    <col min="779" max="1025" width="11.5703125" style="170"/>
    <col min="1026" max="1026" width="19" style="170" customWidth="1"/>
    <col min="1027" max="1027" width="10.140625" style="170" customWidth="1"/>
    <col min="1028" max="1030" width="8.7109375" style="170" customWidth="1"/>
    <col min="1031" max="1031" width="9.5703125" style="170" customWidth="1"/>
    <col min="1032" max="1034" width="8.7109375" style="170" customWidth="1"/>
    <col min="1035" max="1281" width="11.5703125" style="170"/>
    <col min="1282" max="1282" width="19" style="170" customWidth="1"/>
    <col min="1283" max="1283" width="10.140625" style="170" customWidth="1"/>
    <col min="1284" max="1286" width="8.7109375" style="170" customWidth="1"/>
    <col min="1287" max="1287" width="9.5703125" style="170" customWidth="1"/>
    <col min="1288" max="1290" width="8.7109375" style="170" customWidth="1"/>
    <col min="1291" max="1537" width="11.5703125" style="170"/>
    <col min="1538" max="1538" width="19" style="170" customWidth="1"/>
    <col min="1539" max="1539" width="10.140625" style="170" customWidth="1"/>
    <col min="1540" max="1542" width="8.7109375" style="170" customWidth="1"/>
    <col min="1543" max="1543" width="9.5703125" style="170" customWidth="1"/>
    <col min="1544" max="1546" width="8.7109375" style="170" customWidth="1"/>
    <col min="1547" max="1793" width="11.5703125" style="170"/>
    <col min="1794" max="1794" width="19" style="170" customWidth="1"/>
    <col min="1795" max="1795" width="10.140625" style="170" customWidth="1"/>
    <col min="1796" max="1798" width="8.7109375" style="170" customWidth="1"/>
    <col min="1799" max="1799" width="9.5703125" style="170" customWidth="1"/>
    <col min="1800" max="1802" width="8.7109375" style="170" customWidth="1"/>
    <col min="1803" max="2049" width="11.5703125" style="170"/>
    <col min="2050" max="2050" width="19" style="170" customWidth="1"/>
    <col min="2051" max="2051" width="10.140625" style="170" customWidth="1"/>
    <col min="2052" max="2054" width="8.7109375" style="170" customWidth="1"/>
    <col min="2055" max="2055" width="9.5703125" style="170" customWidth="1"/>
    <col min="2056" max="2058" width="8.7109375" style="170" customWidth="1"/>
    <col min="2059" max="2305" width="11.5703125" style="170"/>
    <col min="2306" max="2306" width="19" style="170" customWidth="1"/>
    <col min="2307" max="2307" width="10.140625" style="170" customWidth="1"/>
    <col min="2308" max="2310" width="8.7109375" style="170" customWidth="1"/>
    <col min="2311" max="2311" width="9.5703125" style="170" customWidth="1"/>
    <col min="2312" max="2314" width="8.7109375" style="170" customWidth="1"/>
    <col min="2315" max="2561" width="11.5703125" style="170"/>
    <col min="2562" max="2562" width="19" style="170" customWidth="1"/>
    <col min="2563" max="2563" width="10.140625" style="170" customWidth="1"/>
    <col min="2564" max="2566" width="8.7109375" style="170" customWidth="1"/>
    <col min="2567" max="2567" width="9.5703125" style="170" customWidth="1"/>
    <col min="2568" max="2570" width="8.7109375" style="170" customWidth="1"/>
    <col min="2571" max="2817" width="11.5703125" style="170"/>
    <col min="2818" max="2818" width="19" style="170" customWidth="1"/>
    <col min="2819" max="2819" width="10.140625" style="170" customWidth="1"/>
    <col min="2820" max="2822" width="8.7109375" style="170" customWidth="1"/>
    <col min="2823" max="2823" width="9.5703125" style="170" customWidth="1"/>
    <col min="2824" max="2826" width="8.7109375" style="170" customWidth="1"/>
    <col min="2827" max="3073" width="11.5703125" style="170"/>
    <col min="3074" max="3074" width="19" style="170" customWidth="1"/>
    <col min="3075" max="3075" width="10.140625" style="170" customWidth="1"/>
    <col min="3076" max="3078" width="8.7109375" style="170" customWidth="1"/>
    <col min="3079" max="3079" width="9.5703125" style="170" customWidth="1"/>
    <col min="3080" max="3082" width="8.7109375" style="170" customWidth="1"/>
    <col min="3083" max="3329" width="11.5703125" style="170"/>
    <col min="3330" max="3330" width="19" style="170" customWidth="1"/>
    <col min="3331" max="3331" width="10.140625" style="170" customWidth="1"/>
    <col min="3332" max="3334" width="8.7109375" style="170" customWidth="1"/>
    <col min="3335" max="3335" width="9.5703125" style="170" customWidth="1"/>
    <col min="3336" max="3338" width="8.7109375" style="170" customWidth="1"/>
    <col min="3339" max="3585" width="11.5703125" style="170"/>
    <col min="3586" max="3586" width="19" style="170" customWidth="1"/>
    <col min="3587" max="3587" width="10.140625" style="170" customWidth="1"/>
    <col min="3588" max="3590" width="8.7109375" style="170" customWidth="1"/>
    <col min="3591" max="3591" width="9.5703125" style="170" customWidth="1"/>
    <col min="3592" max="3594" width="8.7109375" style="170" customWidth="1"/>
    <col min="3595" max="3841" width="11.5703125" style="170"/>
    <col min="3842" max="3842" width="19" style="170" customWidth="1"/>
    <col min="3843" max="3843" width="10.140625" style="170" customWidth="1"/>
    <col min="3844" max="3846" width="8.7109375" style="170" customWidth="1"/>
    <col min="3847" max="3847" width="9.5703125" style="170" customWidth="1"/>
    <col min="3848" max="3850" width="8.7109375" style="170" customWidth="1"/>
    <col min="3851" max="4097" width="11.5703125" style="170"/>
    <col min="4098" max="4098" width="19" style="170" customWidth="1"/>
    <col min="4099" max="4099" width="10.140625" style="170" customWidth="1"/>
    <col min="4100" max="4102" width="8.7109375" style="170" customWidth="1"/>
    <col min="4103" max="4103" width="9.5703125" style="170" customWidth="1"/>
    <col min="4104" max="4106" width="8.7109375" style="170" customWidth="1"/>
    <col min="4107" max="4353" width="11.5703125" style="170"/>
    <col min="4354" max="4354" width="19" style="170" customWidth="1"/>
    <col min="4355" max="4355" width="10.140625" style="170" customWidth="1"/>
    <col min="4356" max="4358" width="8.7109375" style="170" customWidth="1"/>
    <col min="4359" max="4359" width="9.5703125" style="170" customWidth="1"/>
    <col min="4360" max="4362" width="8.7109375" style="170" customWidth="1"/>
    <col min="4363" max="4609" width="11.5703125" style="170"/>
    <col min="4610" max="4610" width="19" style="170" customWidth="1"/>
    <col min="4611" max="4611" width="10.140625" style="170" customWidth="1"/>
    <col min="4612" max="4614" width="8.7109375" style="170" customWidth="1"/>
    <col min="4615" max="4615" width="9.5703125" style="170" customWidth="1"/>
    <col min="4616" max="4618" width="8.7109375" style="170" customWidth="1"/>
    <col min="4619" max="4865" width="11.5703125" style="170"/>
    <col min="4866" max="4866" width="19" style="170" customWidth="1"/>
    <col min="4867" max="4867" width="10.140625" style="170" customWidth="1"/>
    <col min="4868" max="4870" width="8.7109375" style="170" customWidth="1"/>
    <col min="4871" max="4871" width="9.5703125" style="170" customWidth="1"/>
    <col min="4872" max="4874" width="8.7109375" style="170" customWidth="1"/>
    <col min="4875" max="5121" width="11.5703125" style="170"/>
    <col min="5122" max="5122" width="19" style="170" customWidth="1"/>
    <col min="5123" max="5123" width="10.140625" style="170" customWidth="1"/>
    <col min="5124" max="5126" width="8.7109375" style="170" customWidth="1"/>
    <col min="5127" max="5127" width="9.5703125" style="170" customWidth="1"/>
    <col min="5128" max="5130" width="8.7109375" style="170" customWidth="1"/>
    <col min="5131" max="5377" width="11.5703125" style="170"/>
    <col min="5378" max="5378" width="19" style="170" customWidth="1"/>
    <col min="5379" max="5379" width="10.140625" style="170" customWidth="1"/>
    <col min="5380" max="5382" width="8.7109375" style="170" customWidth="1"/>
    <col min="5383" max="5383" width="9.5703125" style="170" customWidth="1"/>
    <col min="5384" max="5386" width="8.7109375" style="170" customWidth="1"/>
    <col min="5387" max="5633" width="11.5703125" style="170"/>
    <col min="5634" max="5634" width="19" style="170" customWidth="1"/>
    <col min="5635" max="5635" width="10.140625" style="170" customWidth="1"/>
    <col min="5636" max="5638" width="8.7109375" style="170" customWidth="1"/>
    <col min="5639" max="5639" width="9.5703125" style="170" customWidth="1"/>
    <col min="5640" max="5642" width="8.7109375" style="170" customWidth="1"/>
    <col min="5643" max="5889" width="11.5703125" style="170"/>
    <col min="5890" max="5890" width="19" style="170" customWidth="1"/>
    <col min="5891" max="5891" width="10.140625" style="170" customWidth="1"/>
    <col min="5892" max="5894" width="8.7109375" style="170" customWidth="1"/>
    <col min="5895" max="5895" width="9.5703125" style="170" customWidth="1"/>
    <col min="5896" max="5898" width="8.7109375" style="170" customWidth="1"/>
    <col min="5899" max="6145" width="11.5703125" style="170"/>
    <col min="6146" max="6146" width="19" style="170" customWidth="1"/>
    <col min="6147" max="6147" width="10.140625" style="170" customWidth="1"/>
    <col min="6148" max="6150" width="8.7109375" style="170" customWidth="1"/>
    <col min="6151" max="6151" width="9.5703125" style="170" customWidth="1"/>
    <col min="6152" max="6154" width="8.7109375" style="170" customWidth="1"/>
    <col min="6155" max="6401" width="11.5703125" style="170"/>
    <col min="6402" max="6402" width="19" style="170" customWidth="1"/>
    <col min="6403" max="6403" width="10.140625" style="170" customWidth="1"/>
    <col min="6404" max="6406" width="8.7109375" style="170" customWidth="1"/>
    <col min="6407" max="6407" width="9.5703125" style="170" customWidth="1"/>
    <col min="6408" max="6410" width="8.7109375" style="170" customWidth="1"/>
    <col min="6411" max="6657" width="11.5703125" style="170"/>
    <col min="6658" max="6658" width="19" style="170" customWidth="1"/>
    <col min="6659" max="6659" width="10.140625" style="170" customWidth="1"/>
    <col min="6660" max="6662" width="8.7109375" style="170" customWidth="1"/>
    <col min="6663" max="6663" width="9.5703125" style="170" customWidth="1"/>
    <col min="6664" max="6666" width="8.7109375" style="170" customWidth="1"/>
    <col min="6667" max="6913" width="11.5703125" style="170"/>
    <col min="6914" max="6914" width="19" style="170" customWidth="1"/>
    <col min="6915" max="6915" width="10.140625" style="170" customWidth="1"/>
    <col min="6916" max="6918" width="8.7109375" style="170" customWidth="1"/>
    <col min="6919" max="6919" width="9.5703125" style="170" customWidth="1"/>
    <col min="6920" max="6922" width="8.7109375" style="170" customWidth="1"/>
    <col min="6923" max="7169" width="11.5703125" style="170"/>
    <col min="7170" max="7170" width="19" style="170" customWidth="1"/>
    <col min="7171" max="7171" width="10.140625" style="170" customWidth="1"/>
    <col min="7172" max="7174" width="8.7109375" style="170" customWidth="1"/>
    <col min="7175" max="7175" width="9.5703125" style="170" customWidth="1"/>
    <col min="7176" max="7178" width="8.7109375" style="170" customWidth="1"/>
    <col min="7179" max="7425" width="11.5703125" style="170"/>
    <col min="7426" max="7426" width="19" style="170" customWidth="1"/>
    <col min="7427" max="7427" width="10.140625" style="170" customWidth="1"/>
    <col min="7428" max="7430" width="8.7109375" style="170" customWidth="1"/>
    <col min="7431" max="7431" width="9.5703125" style="170" customWidth="1"/>
    <col min="7432" max="7434" width="8.7109375" style="170" customWidth="1"/>
    <col min="7435" max="7681" width="11.5703125" style="170"/>
    <col min="7682" max="7682" width="19" style="170" customWidth="1"/>
    <col min="7683" max="7683" width="10.140625" style="170" customWidth="1"/>
    <col min="7684" max="7686" width="8.7109375" style="170" customWidth="1"/>
    <col min="7687" max="7687" width="9.5703125" style="170" customWidth="1"/>
    <col min="7688" max="7690" width="8.7109375" style="170" customWidth="1"/>
    <col min="7691" max="7937" width="11.5703125" style="170"/>
    <col min="7938" max="7938" width="19" style="170" customWidth="1"/>
    <col min="7939" max="7939" width="10.140625" style="170" customWidth="1"/>
    <col min="7940" max="7942" width="8.7109375" style="170" customWidth="1"/>
    <col min="7943" max="7943" width="9.5703125" style="170" customWidth="1"/>
    <col min="7944" max="7946" width="8.7109375" style="170" customWidth="1"/>
    <col min="7947" max="8193" width="11.5703125" style="170"/>
    <col min="8194" max="8194" width="19" style="170" customWidth="1"/>
    <col min="8195" max="8195" width="10.140625" style="170" customWidth="1"/>
    <col min="8196" max="8198" width="8.7109375" style="170" customWidth="1"/>
    <col min="8199" max="8199" width="9.5703125" style="170" customWidth="1"/>
    <col min="8200" max="8202" width="8.7109375" style="170" customWidth="1"/>
    <col min="8203" max="8449" width="11.5703125" style="170"/>
    <col min="8450" max="8450" width="19" style="170" customWidth="1"/>
    <col min="8451" max="8451" width="10.140625" style="170" customWidth="1"/>
    <col min="8452" max="8454" width="8.7109375" style="170" customWidth="1"/>
    <col min="8455" max="8455" width="9.5703125" style="170" customWidth="1"/>
    <col min="8456" max="8458" width="8.7109375" style="170" customWidth="1"/>
    <col min="8459" max="8705" width="11.5703125" style="170"/>
    <col min="8706" max="8706" width="19" style="170" customWidth="1"/>
    <col min="8707" max="8707" width="10.140625" style="170" customWidth="1"/>
    <col min="8708" max="8710" width="8.7109375" style="170" customWidth="1"/>
    <col min="8711" max="8711" width="9.5703125" style="170" customWidth="1"/>
    <col min="8712" max="8714" width="8.7109375" style="170" customWidth="1"/>
    <col min="8715" max="8961" width="11.5703125" style="170"/>
    <col min="8962" max="8962" width="19" style="170" customWidth="1"/>
    <col min="8963" max="8963" width="10.140625" style="170" customWidth="1"/>
    <col min="8964" max="8966" width="8.7109375" style="170" customWidth="1"/>
    <col min="8967" max="8967" width="9.5703125" style="170" customWidth="1"/>
    <col min="8968" max="8970" width="8.7109375" style="170" customWidth="1"/>
    <col min="8971" max="9217" width="11.5703125" style="170"/>
    <col min="9218" max="9218" width="19" style="170" customWidth="1"/>
    <col min="9219" max="9219" width="10.140625" style="170" customWidth="1"/>
    <col min="9220" max="9222" width="8.7109375" style="170" customWidth="1"/>
    <col min="9223" max="9223" width="9.5703125" style="170" customWidth="1"/>
    <col min="9224" max="9226" width="8.7109375" style="170" customWidth="1"/>
    <col min="9227" max="9473" width="11.5703125" style="170"/>
    <col min="9474" max="9474" width="19" style="170" customWidth="1"/>
    <col min="9475" max="9475" width="10.140625" style="170" customWidth="1"/>
    <col min="9476" max="9478" width="8.7109375" style="170" customWidth="1"/>
    <col min="9479" max="9479" width="9.5703125" style="170" customWidth="1"/>
    <col min="9480" max="9482" width="8.7109375" style="170" customWidth="1"/>
    <col min="9483" max="9729" width="11.5703125" style="170"/>
    <col min="9730" max="9730" width="19" style="170" customWidth="1"/>
    <col min="9731" max="9731" width="10.140625" style="170" customWidth="1"/>
    <col min="9732" max="9734" width="8.7109375" style="170" customWidth="1"/>
    <col min="9735" max="9735" width="9.5703125" style="170" customWidth="1"/>
    <col min="9736" max="9738" width="8.7109375" style="170" customWidth="1"/>
    <col min="9739" max="9985" width="11.5703125" style="170"/>
    <col min="9986" max="9986" width="19" style="170" customWidth="1"/>
    <col min="9987" max="9987" width="10.140625" style="170" customWidth="1"/>
    <col min="9988" max="9990" width="8.7109375" style="170" customWidth="1"/>
    <col min="9991" max="9991" width="9.5703125" style="170" customWidth="1"/>
    <col min="9992" max="9994" width="8.7109375" style="170" customWidth="1"/>
    <col min="9995" max="10241" width="11.5703125" style="170"/>
    <col min="10242" max="10242" width="19" style="170" customWidth="1"/>
    <col min="10243" max="10243" width="10.140625" style="170" customWidth="1"/>
    <col min="10244" max="10246" width="8.7109375" style="170" customWidth="1"/>
    <col min="10247" max="10247" width="9.5703125" style="170" customWidth="1"/>
    <col min="10248" max="10250" width="8.7109375" style="170" customWidth="1"/>
    <col min="10251" max="10497" width="11.5703125" style="170"/>
    <col min="10498" max="10498" width="19" style="170" customWidth="1"/>
    <col min="10499" max="10499" width="10.140625" style="170" customWidth="1"/>
    <col min="10500" max="10502" width="8.7109375" style="170" customWidth="1"/>
    <col min="10503" max="10503" width="9.5703125" style="170" customWidth="1"/>
    <col min="10504" max="10506" width="8.7109375" style="170" customWidth="1"/>
    <col min="10507" max="10753" width="11.5703125" style="170"/>
    <col min="10754" max="10754" width="19" style="170" customWidth="1"/>
    <col min="10755" max="10755" width="10.140625" style="170" customWidth="1"/>
    <col min="10756" max="10758" width="8.7109375" style="170" customWidth="1"/>
    <col min="10759" max="10759" width="9.5703125" style="170" customWidth="1"/>
    <col min="10760" max="10762" width="8.7109375" style="170" customWidth="1"/>
    <col min="10763" max="11009" width="11.5703125" style="170"/>
    <col min="11010" max="11010" width="19" style="170" customWidth="1"/>
    <col min="11011" max="11011" width="10.140625" style="170" customWidth="1"/>
    <col min="11012" max="11014" width="8.7109375" style="170" customWidth="1"/>
    <col min="11015" max="11015" width="9.5703125" style="170" customWidth="1"/>
    <col min="11016" max="11018" width="8.7109375" style="170" customWidth="1"/>
    <col min="11019" max="11265" width="11.5703125" style="170"/>
    <col min="11266" max="11266" width="19" style="170" customWidth="1"/>
    <col min="11267" max="11267" width="10.140625" style="170" customWidth="1"/>
    <col min="11268" max="11270" width="8.7109375" style="170" customWidth="1"/>
    <col min="11271" max="11271" width="9.5703125" style="170" customWidth="1"/>
    <col min="11272" max="11274" width="8.7109375" style="170" customWidth="1"/>
    <col min="11275" max="11521" width="11.5703125" style="170"/>
    <col min="11522" max="11522" width="19" style="170" customWidth="1"/>
    <col min="11523" max="11523" width="10.140625" style="170" customWidth="1"/>
    <col min="11524" max="11526" width="8.7109375" style="170" customWidth="1"/>
    <col min="11527" max="11527" width="9.5703125" style="170" customWidth="1"/>
    <col min="11528" max="11530" width="8.7109375" style="170" customWidth="1"/>
    <col min="11531" max="11777" width="11.5703125" style="170"/>
    <col min="11778" max="11778" width="19" style="170" customWidth="1"/>
    <col min="11779" max="11779" width="10.140625" style="170" customWidth="1"/>
    <col min="11780" max="11782" width="8.7109375" style="170" customWidth="1"/>
    <col min="11783" max="11783" width="9.5703125" style="170" customWidth="1"/>
    <col min="11784" max="11786" width="8.7109375" style="170" customWidth="1"/>
    <col min="11787" max="12033" width="11.5703125" style="170"/>
    <col min="12034" max="12034" width="19" style="170" customWidth="1"/>
    <col min="12035" max="12035" width="10.140625" style="170" customWidth="1"/>
    <col min="12036" max="12038" width="8.7109375" style="170" customWidth="1"/>
    <col min="12039" max="12039" width="9.5703125" style="170" customWidth="1"/>
    <col min="12040" max="12042" width="8.7109375" style="170" customWidth="1"/>
    <col min="12043" max="12289" width="11.5703125" style="170"/>
    <col min="12290" max="12290" width="19" style="170" customWidth="1"/>
    <col min="12291" max="12291" width="10.140625" style="170" customWidth="1"/>
    <col min="12292" max="12294" width="8.7109375" style="170" customWidth="1"/>
    <col min="12295" max="12295" width="9.5703125" style="170" customWidth="1"/>
    <col min="12296" max="12298" width="8.7109375" style="170" customWidth="1"/>
    <col min="12299" max="12545" width="11.5703125" style="170"/>
    <col min="12546" max="12546" width="19" style="170" customWidth="1"/>
    <col min="12547" max="12547" width="10.140625" style="170" customWidth="1"/>
    <col min="12548" max="12550" width="8.7109375" style="170" customWidth="1"/>
    <col min="12551" max="12551" width="9.5703125" style="170" customWidth="1"/>
    <col min="12552" max="12554" width="8.7109375" style="170" customWidth="1"/>
    <col min="12555" max="12801" width="11.5703125" style="170"/>
    <col min="12802" max="12802" width="19" style="170" customWidth="1"/>
    <col min="12803" max="12803" width="10.140625" style="170" customWidth="1"/>
    <col min="12804" max="12806" width="8.7109375" style="170" customWidth="1"/>
    <col min="12807" max="12807" width="9.5703125" style="170" customWidth="1"/>
    <col min="12808" max="12810" width="8.7109375" style="170" customWidth="1"/>
    <col min="12811" max="13057" width="11.5703125" style="170"/>
    <col min="13058" max="13058" width="19" style="170" customWidth="1"/>
    <col min="13059" max="13059" width="10.140625" style="170" customWidth="1"/>
    <col min="13060" max="13062" width="8.7109375" style="170" customWidth="1"/>
    <col min="13063" max="13063" width="9.5703125" style="170" customWidth="1"/>
    <col min="13064" max="13066" width="8.7109375" style="170" customWidth="1"/>
    <col min="13067" max="13313" width="11.5703125" style="170"/>
    <col min="13314" max="13314" width="19" style="170" customWidth="1"/>
    <col min="13315" max="13315" width="10.140625" style="170" customWidth="1"/>
    <col min="13316" max="13318" width="8.7109375" style="170" customWidth="1"/>
    <col min="13319" max="13319" width="9.5703125" style="170" customWidth="1"/>
    <col min="13320" max="13322" width="8.7109375" style="170" customWidth="1"/>
    <col min="13323" max="13569" width="11.5703125" style="170"/>
    <col min="13570" max="13570" width="19" style="170" customWidth="1"/>
    <col min="13571" max="13571" width="10.140625" style="170" customWidth="1"/>
    <col min="13572" max="13574" width="8.7109375" style="170" customWidth="1"/>
    <col min="13575" max="13575" width="9.5703125" style="170" customWidth="1"/>
    <col min="13576" max="13578" width="8.7109375" style="170" customWidth="1"/>
    <col min="13579" max="13825" width="11.5703125" style="170"/>
    <col min="13826" max="13826" width="19" style="170" customWidth="1"/>
    <col min="13827" max="13827" width="10.140625" style="170" customWidth="1"/>
    <col min="13828" max="13830" width="8.7109375" style="170" customWidth="1"/>
    <col min="13831" max="13831" width="9.5703125" style="170" customWidth="1"/>
    <col min="13832" max="13834" width="8.7109375" style="170" customWidth="1"/>
    <col min="13835" max="14081" width="11.5703125" style="170"/>
    <col min="14082" max="14082" width="19" style="170" customWidth="1"/>
    <col min="14083" max="14083" width="10.140625" style="170" customWidth="1"/>
    <col min="14084" max="14086" width="8.7109375" style="170" customWidth="1"/>
    <col min="14087" max="14087" width="9.5703125" style="170" customWidth="1"/>
    <col min="14088" max="14090" width="8.7109375" style="170" customWidth="1"/>
    <col min="14091" max="14337" width="11.5703125" style="170"/>
    <col min="14338" max="14338" width="19" style="170" customWidth="1"/>
    <col min="14339" max="14339" width="10.140625" style="170" customWidth="1"/>
    <col min="14340" max="14342" width="8.7109375" style="170" customWidth="1"/>
    <col min="14343" max="14343" width="9.5703125" style="170" customWidth="1"/>
    <col min="14344" max="14346" width="8.7109375" style="170" customWidth="1"/>
    <col min="14347" max="14593" width="11.5703125" style="170"/>
    <col min="14594" max="14594" width="19" style="170" customWidth="1"/>
    <col min="14595" max="14595" width="10.140625" style="170" customWidth="1"/>
    <col min="14596" max="14598" width="8.7109375" style="170" customWidth="1"/>
    <col min="14599" max="14599" width="9.5703125" style="170" customWidth="1"/>
    <col min="14600" max="14602" width="8.7109375" style="170" customWidth="1"/>
    <col min="14603" max="14849" width="11.5703125" style="170"/>
    <col min="14850" max="14850" width="19" style="170" customWidth="1"/>
    <col min="14851" max="14851" width="10.140625" style="170" customWidth="1"/>
    <col min="14852" max="14854" width="8.7109375" style="170" customWidth="1"/>
    <col min="14855" max="14855" width="9.5703125" style="170" customWidth="1"/>
    <col min="14856" max="14858" width="8.7109375" style="170" customWidth="1"/>
    <col min="14859" max="15105" width="11.5703125" style="170"/>
    <col min="15106" max="15106" width="19" style="170" customWidth="1"/>
    <col min="15107" max="15107" width="10.140625" style="170" customWidth="1"/>
    <col min="15108" max="15110" width="8.7109375" style="170" customWidth="1"/>
    <col min="15111" max="15111" width="9.5703125" style="170" customWidth="1"/>
    <col min="15112" max="15114" width="8.7109375" style="170" customWidth="1"/>
    <col min="15115" max="15361" width="11.5703125" style="170"/>
    <col min="15362" max="15362" width="19" style="170" customWidth="1"/>
    <col min="15363" max="15363" width="10.140625" style="170" customWidth="1"/>
    <col min="15364" max="15366" width="8.7109375" style="170" customWidth="1"/>
    <col min="15367" max="15367" width="9.5703125" style="170" customWidth="1"/>
    <col min="15368" max="15370" width="8.7109375" style="170" customWidth="1"/>
    <col min="15371" max="15617" width="11.5703125" style="170"/>
    <col min="15618" max="15618" width="19" style="170" customWidth="1"/>
    <col min="15619" max="15619" width="10.140625" style="170" customWidth="1"/>
    <col min="15620" max="15622" width="8.7109375" style="170" customWidth="1"/>
    <col min="15623" max="15623" width="9.5703125" style="170" customWidth="1"/>
    <col min="15624" max="15626" width="8.7109375" style="170" customWidth="1"/>
    <col min="15627" max="15873" width="11.5703125" style="170"/>
    <col min="15874" max="15874" width="19" style="170" customWidth="1"/>
    <col min="15875" max="15875" width="10.140625" style="170" customWidth="1"/>
    <col min="15876" max="15878" width="8.7109375" style="170" customWidth="1"/>
    <col min="15879" max="15879" width="9.5703125" style="170" customWidth="1"/>
    <col min="15880" max="15882" width="8.7109375" style="170" customWidth="1"/>
    <col min="15883" max="16129" width="11.5703125" style="170"/>
    <col min="16130" max="16130" width="19" style="170" customWidth="1"/>
    <col min="16131" max="16131" width="10.140625" style="170" customWidth="1"/>
    <col min="16132" max="16134" width="8.7109375" style="170" customWidth="1"/>
    <col min="16135" max="16135" width="9.5703125" style="170" customWidth="1"/>
    <col min="16136" max="16138" width="8.7109375" style="170" customWidth="1"/>
    <col min="16139" max="16384" width="11.5703125" style="170"/>
  </cols>
  <sheetData>
    <row r="1" spans="1:29" ht="12.75" customHeight="1">
      <c r="A1" s="169" t="s">
        <v>140</v>
      </c>
    </row>
    <row r="2" spans="1:29" ht="12.75" customHeight="1">
      <c r="A2" s="169" t="s">
        <v>141</v>
      </c>
    </row>
    <row r="3" spans="1:29" ht="9.6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r="4" spans="1:29" ht="15" customHeight="1">
      <c r="A4" s="235"/>
      <c r="B4" s="238" t="s">
        <v>142</v>
      </c>
      <c r="C4" s="241" t="s">
        <v>143</v>
      </c>
      <c r="D4" s="244" t="s">
        <v>144</v>
      </c>
      <c r="E4" s="244"/>
      <c r="F4" s="244"/>
      <c r="G4" s="244"/>
      <c r="H4" s="244"/>
      <c r="I4" s="244"/>
      <c r="J4" s="244"/>
    </row>
    <row r="5" spans="1:29" s="172" customFormat="1" ht="15" customHeight="1">
      <c r="A5" s="236"/>
      <c r="B5" s="239"/>
      <c r="C5" s="242"/>
      <c r="D5" s="245" t="s">
        <v>0</v>
      </c>
      <c r="E5" s="247" t="s">
        <v>145</v>
      </c>
      <c r="F5" s="248"/>
      <c r="G5" s="248"/>
      <c r="H5" s="248"/>
      <c r="I5" s="249"/>
      <c r="J5" s="250" t="s">
        <v>118</v>
      </c>
    </row>
    <row r="6" spans="1:29" s="172" customFormat="1" ht="36.75" customHeight="1">
      <c r="A6" s="237"/>
      <c r="B6" s="240"/>
      <c r="C6" s="243"/>
      <c r="D6" s="246"/>
      <c r="E6" s="173" t="s">
        <v>5</v>
      </c>
      <c r="F6" s="173" t="s">
        <v>146</v>
      </c>
      <c r="G6" s="173" t="s">
        <v>147</v>
      </c>
      <c r="H6" s="173" t="s">
        <v>148</v>
      </c>
      <c r="I6" s="173" t="s">
        <v>149</v>
      </c>
      <c r="J6" s="251"/>
    </row>
    <row r="7" spans="1:29" ht="12.75" customHeight="1">
      <c r="A7" s="174" t="s">
        <v>150</v>
      </c>
      <c r="B7" s="175">
        <v>11104628</v>
      </c>
      <c r="C7" s="176">
        <v>100</v>
      </c>
      <c r="D7" s="177">
        <v>99.999990994745616</v>
      </c>
      <c r="E7" s="178">
        <v>95.263488340176721</v>
      </c>
      <c r="F7" s="178">
        <v>59.767107912124558</v>
      </c>
      <c r="G7" s="178">
        <v>9.5253798686457571</v>
      </c>
      <c r="H7" s="178">
        <v>25.578722673105304</v>
      </c>
      <c r="I7" s="178">
        <v>0.392277886301099</v>
      </c>
      <c r="J7" s="179">
        <v>4.7365026545688877</v>
      </c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</row>
    <row r="8" spans="1:29" ht="12.75" customHeight="1">
      <c r="A8" s="181" t="s">
        <v>9</v>
      </c>
      <c r="B8" s="182">
        <v>1325005</v>
      </c>
      <c r="C8" s="183">
        <v>11.932007087495412</v>
      </c>
      <c r="D8" s="184">
        <v>99.999924528586689</v>
      </c>
      <c r="E8" s="185">
        <v>96.100543016818804</v>
      </c>
      <c r="F8" s="185">
        <v>64.705944505869795</v>
      </c>
      <c r="G8" s="185">
        <v>9.396492843423232</v>
      </c>
      <c r="H8" s="185">
        <v>21.513881079694038</v>
      </c>
      <c r="I8" s="185">
        <v>0.48422458783174405</v>
      </c>
      <c r="J8" s="186">
        <v>3.8993815117678796</v>
      </c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</row>
    <row r="9" spans="1:29" ht="12.75" customHeight="1">
      <c r="A9" s="180" t="s">
        <v>23</v>
      </c>
      <c r="B9" s="182">
        <v>252713</v>
      </c>
      <c r="C9" s="183">
        <v>2.2757448516060155</v>
      </c>
      <c r="D9" s="184">
        <v>100.00039570580066</v>
      </c>
      <c r="E9" s="185">
        <v>97.865958617087372</v>
      </c>
      <c r="F9" s="185">
        <v>63.024854281338918</v>
      </c>
      <c r="G9" s="185">
        <v>8.1202787351659786</v>
      </c>
      <c r="H9" s="185">
        <v>26.488546295600145</v>
      </c>
      <c r="I9" s="185">
        <v>0.23227930498233174</v>
      </c>
      <c r="J9" s="186">
        <v>2.1344370887132835</v>
      </c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</row>
    <row r="10" spans="1:29" ht="12.75" customHeight="1">
      <c r="A10" s="181" t="s">
        <v>57</v>
      </c>
      <c r="B10" s="182">
        <v>146316</v>
      </c>
      <c r="C10" s="183">
        <v>1.3176128007169623</v>
      </c>
      <c r="D10" s="184">
        <v>100.00068345225402</v>
      </c>
      <c r="E10" s="185">
        <v>96.214357964952569</v>
      </c>
      <c r="F10" s="185">
        <v>63.418901555537332</v>
      </c>
      <c r="G10" s="185">
        <v>7.46603242297493</v>
      </c>
      <c r="H10" s="185">
        <v>24.708165887531099</v>
      </c>
      <c r="I10" s="185">
        <v>0.62125809890921024</v>
      </c>
      <c r="J10" s="186">
        <v>3.7863254873014571</v>
      </c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</row>
    <row r="11" spans="1:29" ht="12.75" customHeight="1">
      <c r="A11" s="181" t="s">
        <v>36</v>
      </c>
      <c r="B11" s="182">
        <v>273246</v>
      </c>
      <c r="C11" s="183">
        <v>2.4606497399102429</v>
      </c>
      <c r="D11" s="184">
        <v>100.00036597059062</v>
      </c>
      <c r="E11" s="185">
        <v>97.299503011937972</v>
      </c>
      <c r="F11" s="185">
        <v>66.685697137378042</v>
      </c>
      <c r="G11" s="185">
        <v>9.5598837677404251</v>
      </c>
      <c r="H11" s="185">
        <v>20.895822811678855</v>
      </c>
      <c r="I11" s="185">
        <v>0.1580992951406425</v>
      </c>
      <c r="J11" s="186">
        <v>2.7008629586526429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</row>
    <row r="12" spans="1:29" ht="12.75" customHeight="1">
      <c r="A12" s="181" t="s">
        <v>10</v>
      </c>
      <c r="B12" s="182">
        <v>301697</v>
      </c>
      <c r="C12" s="183">
        <v>2.716858232441465</v>
      </c>
      <c r="D12" s="184">
        <v>99.999999999999986</v>
      </c>
      <c r="E12" s="185">
        <v>94.366201851526512</v>
      </c>
      <c r="F12" s="185">
        <v>55.773176398837244</v>
      </c>
      <c r="G12" s="185">
        <v>10.95536249946138</v>
      </c>
      <c r="H12" s="185">
        <v>27.209087263048687</v>
      </c>
      <c r="I12" s="185">
        <v>0.42857569017921954</v>
      </c>
      <c r="J12" s="186">
        <v>5.6337981484734687</v>
      </c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</row>
    <row r="13" spans="1:29" ht="12.75" customHeight="1">
      <c r="A13" s="180" t="s">
        <v>24</v>
      </c>
      <c r="B13" s="182">
        <v>103679</v>
      </c>
      <c r="C13" s="183">
        <v>0.93365576946836948</v>
      </c>
      <c r="D13" s="184">
        <v>99.999999999999986</v>
      </c>
      <c r="E13" s="185">
        <v>98.395046248517048</v>
      </c>
      <c r="F13" s="185">
        <v>73.365869655378617</v>
      </c>
      <c r="G13" s="185">
        <v>7.0515726424830492</v>
      </c>
      <c r="H13" s="185">
        <v>17.882116918565956</v>
      </c>
      <c r="I13" s="185">
        <v>9.548703208942988E-2</v>
      </c>
      <c r="J13" s="186">
        <v>1.6049537514829424</v>
      </c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</row>
    <row r="14" spans="1:29" ht="12.75" customHeight="1">
      <c r="A14" s="180" t="s">
        <v>25</v>
      </c>
      <c r="B14" s="182">
        <v>394090</v>
      </c>
      <c r="C14" s="183">
        <v>3.5488807009113681</v>
      </c>
      <c r="D14" s="184">
        <v>99.99974625085639</v>
      </c>
      <c r="E14" s="185">
        <v>97.477479763505784</v>
      </c>
      <c r="F14" s="185">
        <v>72.451724225430738</v>
      </c>
      <c r="G14" s="185">
        <v>7.4076987490167223</v>
      </c>
      <c r="H14" s="185">
        <v>17.502347179578269</v>
      </c>
      <c r="I14" s="185">
        <v>0.11570960948006802</v>
      </c>
      <c r="J14" s="186">
        <v>2.5222664873506053</v>
      </c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spans="1:29" ht="12.75" customHeight="1">
      <c r="A15" s="180" t="s">
        <v>26</v>
      </c>
      <c r="B15" s="182">
        <v>209132</v>
      </c>
      <c r="C15" s="183">
        <v>1.8832868602171995</v>
      </c>
      <c r="D15" s="184">
        <v>100</v>
      </c>
      <c r="E15" s="185">
        <v>98.121282252357361</v>
      </c>
      <c r="F15" s="185">
        <v>69.077424784346732</v>
      </c>
      <c r="G15" s="185">
        <v>8.7308494156800496</v>
      </c>
      <c r="H15" s="185">
        <v>20.013675573322111</v>
      </c>
      <c r="I15" s="185">
        <v>0.2993324790084731</v>
      </c>
      <c r="J15" s="186">
        <v>1.8787177476426373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</row>
    <row r="16" spans="1:29" ht="12.75" customHeight="1">
      <c r="A16" s="180" t="s">
        <v>11</v>
      </c>
      <c r="B16" s="182">
        <v>2404007</v>
      </c>
      <c r="C16" s="183">
        <v>21.64869458031372</v>
      </c>
      <c r="D16" s="184">
        <v>100.00000000000001</v>
      </c>
      <c r="E16" s="185">
        <v>94.547561633555986</v>
      </c>
      <c r="F16" s="185">
        <v>57.573750825184788</v>
      </c>
      <c r="G16" s="185">
        <v>9.741901749870113</v>
      </c>
      <c r="H16" s="185">
        <v>26.9435571527038</v>
      </c>
      <c r="I16" s="185">
        <v>0.28835190579727932</v>
      </c>
      <c r="J16" s="186">
        <v>5.4524383664440244</v>
      </c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</row>
    <row r="17" spans="1:29" ht="12.75" customHeight="1">
      <c r="A17" s="187" t="s">
        <v>151</v>
      </c>
      <c r="B17" s="182">
        <v>1195939</v>
      </c>
      <c r="C17" s="183">
        <v>10.769734924934001</v>
      </c>
      <c r="D17" s="184">
        <v>100</v>
      </c>
      <c r="E17" s="185">
        <v>94.891461855495976</v>
      </c>
      <c r="F17" s="185">
        <v>61.225196268371548</v>
      </c>
      <c r="G17" s="185">
        <v>8.9083138855744313</v>
      </c>
      <c r="H17" s="185">
        <v>24.275652855204154</v>
      </c>
      <c r="I17" s="185">
        <v>0.48229884634584202</v>
      </c>
      <c r="J17" s="186">
        <v>5.108538144504025</v>
      </c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</row>
    <row r="18" spans="1:29" ht="12.75" customHeight="1">
      <c r="A18" s="180" t="s">
        <v>27</v>
      </c>
      <c r="B18" s="182">
        <v>105279</v>
      </c>
      <c r="C18" s="183">
        <v>0.94806417648569585</v>
      </c>
      <c r="D18" s="184">
        <v>100.00000000000001</v>
      </c>
      <c r="E18" s="185">
        <v>98.493526724228019</v>
      </c>
      <c r="F18" s="185">
        <v>74.143941336828817</v>
      </c>
      <c r="G18" s="185">
        <v>9.2744042021675739</v>
      </c>
      <c r="H18" s="185">
        <v>14.996343050370919</v>
      </c>
      <c r="I18" s="185">
        <v>7.8838134860703457E-2</v>
      </c>
      <c r="J18" s="186">
        <v>1.5064732757719963</v>
      </c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</row>
    <row r="19" spans="1:29" ht="12.75" customHeight="1">
      <c r="A19" s="180" t="s">
        <v>12</v>
      </c>
      <c r="B19" s="182">
        <v>414782</v>
      </c>
      <c r="C19" s="183">
        <v>3.7352174246629422</v>
      </c>
      <c r="D19" s="184">
        <v>100.00000000000001</v>
      </c>
      <c r="E19" s="185">
        <v>94.979049235502032</v>
      </c>
      <c r="F19" s="185">
        <v>62.959578766677438</v>
      </c>
      <c r="G19" s="185">
        <v>8.8205370531990308</v>
      </c>
      <c r="H19" s="185">
        <v>22.908178271959727</v>
      </c>
      <c r="I19" s="185">
        <v>0.29075514366582927</v>
      </c>
      <c r="J19" s="186">
        <v>5.0209507644979769</v>
      </c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</row>
    <row r="20" spans="1:29" ht="12.75" customHeight="1">
      <c r="A20" s="181" t="s">
        <v>52</v>
      </c>
      <c r="B20" s="182">
        <v>2471212</v>
      </c>
      <c r="C20" s="183">
        <v>22.253892701313362</v>
      </c>
      <c r="D20" s="184">
        <v>100.00004046597378</v>
      </c>
      <c r="E20" s="185">
        <v>94.054010744525357</v>
      </c>
      <c r="F20" s="185">
        <v>51.77180266201362</v>
      </c>
      <c r="G20" s="185">
        <v>10.059153160473484</v>
      </c>
      <c r="H20" s="185">
        <v>31.550146244029246</v>
      </c>
      <c r="I20" s="185">
        <v>0.67290867800900933</v>
      </c>
      <c r="J20" s="186">
        <v>5.946029721448423</v>
      </c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</row>
    <row r="21" spans="1:29" ht="12.75" customHeight="1">
      <c r="A21" s="181" t="s">
        <v>53</v>
      </c>
      <c r="B21" s="182">
        <v>289224</v>
      </c>
      <c r="C21" s="183">
        <v>2.6045356944870193</v>
      </c>
      <c r="D21" s="184">
        <v>100.00034575277294</v>
      </c>
      <c r="E21" s="185">
        <v>93.809988106104612</v>
      </c>
      <c r="F21" s="185">
        <v>69.480402732829916</v>
      </c>
      <c r="G21" s="185">
        <v>6.3698033358227528</v>
      </c>
      <c r="H21" s="185">
        <v>17.7616656985589</v>
      </c>
      <c r="I21" s="185">
        <v>0.19811633889303795</v>
      </c>
      <c r="J21" s="186">
        <v>6.1903576466683266</v>
      </c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</row>
    <row r="22" spans="1:29" ht="12.75" customHeight="1">
      <c r="A22" s="181" t="s">
        <v>13</v>
      </c>
      <c r="B22" s="182">
        <v>178114</v>
      </c>
      <c r="C22" s="183">
        <v>1.6039618796775543</v>
      </c>
      <c r="D22" s="184">
        <v>100.00056143818004</v>
      </c>
      <c r="E22" s="185">
        <v>93.993734349910739</v>
      </c>
      <c r="F22" s="185">
        <v>60.647113646316406</v>
      </c>
      <c r="G22" s="185">
        <v>8.3424099172440123</v>
      </c>
      <c r="H22" s="185">
        <v>24.905397666662925</v>
      </c>
      <c r="I22" s="185">
        <v>9.8813119687391232E-2</v>
      </c>
      <c r="J22" s="186">
        <v>6.0068270882693104</v>
      </c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</row>
    <row r="23" spans="1:29" ht="12.75" customHeight="1">
      <c r="A23" s="181" t="s">
        <v>14</v>
      </c>
      <c r="B23" s="182">
        <v>958288</v>
      </c>
      <c r="C23" s="183">
        <v>8.6296272148873427</v>
      </c>
      <c r="D23" s="184">
        <v>99.99989564723758</v>
      </c>
      <c r="E23" s="185">
        <v>96.788752441854641</v>
      </c>
      <c r="F23" s="185">
        <v>59.210383517272469</v>
      </c>
      <c r="G23" s="185">
        <v>11.861256741188452</v>
      </c>
      <c r="H23" s="185">
        <v>25.581871003289198</v>
      </c>
      <c r="I23" s="185">
        <v>0.13524118010451971</v>
      </c>
      <c r="J23" s="186">
        <v>3.2111432053829332</v>
      </c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</row>
    <row r="24" spans="1:29" ht="12.75" customHeight="1">
      <c r="A24" s="181" t="s">
        <v>28</v>
      </c>
      <c r="B24" s="182">
        <v>61579</v>
      </c>
      <c r="C24" s="183">
        <v>0.55453455982496669</v>
      </c>
      <c r="D24" s="184">
        <v>100</v>
      </c>
      <c r="E24" s="185">
        <v>96.839831760827551</v>
      </c>
      <c r="F24" s="185">
        <v>71.038828171941731</v>
      </c>
      <c r="G24" s="185">
        <v>6.6873447116711864</v>
      </c>
      <c r="H24" s="185">
        <v>19.009727342113383</v>
      </c>
      <c r="I24" s="185">
        <v>0.10393153510125205</v>
      </c>
      <c r="J24" s="186">
        <v>3.160168239172445</v>
      </c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</row>
    <row r="25" spans="1:29" ht="12.75" customHeight="1">
      <c r="A25" s="180" t="s">
        <v>152</v>
      </c>
      <c r="B25" s="182">
        <v>10747</v>
      </c>
      <c r="C25" s="183">
        <v>9.6779468884504727E-2</v>
      </c>
      <c r="D25" s="184">
        <v>100.00930492230388</v>
      </c>
      <c r="E25" s="185">
        <v>98.064576160789045</v>
      </c>
      <c r="F25" s="185">
        <v>83.223225086070528</v>
      </c>
      <c r="G25" s="185">
        <v>3.07992928259049</v>
      </c>
      <c r="H25" s="185">
        <v>11.649762724481251</v>
      </c>
      <c r="I25" s="185">
        <v>0.11165906764678515</v>
      </c>
      <c r="J25" s="186">
        <v>1.9447287615148412</v>
      </c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</row>
    <row r="26" spans="1:29" ht="12.75" customHeight="1">
      <c r="A26" s="180" t="s">
        <v>153</v>
      </c>
      <c r="B26" s="182">
        <v>9578</v>
      </c>
      <c r="C26" s="183">
        <v>8.6252326507470584E-2</v>
      </c>
      <c r="D26" s="184">
        <v>100</v>
      </c>
      <c r="E26" s="185">
        <v>95.750678638546674</v>
      </c>
      <c r="F26" s="185">
        <v>73.125913551889738</v>
      </c>
      <c r="G26" s="185">
        <v>8.4255585717268744</v>
      </c>
      <c r="H26" s="185">
        <v>14.136562956775943</v>
      </c>
      <c r="I26" s="185">
        <v>6.2643558154103149E-2</v>
      </c>
      <c r="J26" s="186">
        <v>4.2493213614533305</v>
      </c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</row>
    <row r="27" spans="1:29" ht="12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</row>
    <row r="28" spans="1:29" ht="12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</row>
    <row r="29" spans="1:29" ht="12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</row>
    <row r="30" spans="1:29" ht="12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1:29" ht="12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</row>
    <row r="32" spans="1:29" ht="12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</row>
    <row r="33" spans="1:29" ht="12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</row>
    <row r="34" spans="1:29" ht="12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</row>
    <row r="35" spans="1:29" ht="12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</row>
    <row r="36" spans="1:29" ht="12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</row>
    <row r="37" spans="1:29" ht="12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</row>
    <row r="38" spans="1:29" ht="12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</row>
    <row r="39" spans="1:29" ht="12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</row>
    <row r="40" spans="1:29" ht="12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</row>
  </sheetData>
  <mergeCells count="7">
    <mergeCell ref="A4:A6"/>
    <mergeCell ref="B4:B6"/>
    <mergeCell ref="C4:C6"/>
    <mergeCell ref="D4:J4"/>
    <mergeCell ref="D5:D6"/>
    <mergeCell ref="E5:I5"/>
    <mergeCell ref="J5:J6"/>
  </mergeCells>
  <pageMargins left="0.59055118110236227" right="0.59055118110236227" top="0.9055118110236221" bottom="0.39370078740157483" header="0.51181102362204722" footer="0.59055118110236227"/>
  <pageSetup paperSize="9" orientation="portrait" horizontalDpi="1200" verticalDpi="1200" r:id="rId1"/>
  <headerFooter alignWithMargins="0">
    <oddHeader xml:space="preserve">&amp;L&amp;"Arial,Negrita"B4. EL GASTO EN EDUCACIÓN&amp;R&amp;"Arial,Negrita"&amp;7AÑO 2010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zoomScaleNormal="100" workbookViewId="0">
      <selection activeCell="N10" sqref="N10"/>
    </sheetView>
  </sheetViews>
  <sheetFormatPr baseColWidth="10" defaultRowHeight="12.75"/>
  <cols>
    <col min="1" max="1" width="21.85546875" style="61" customWidth="1"/>
    <col min="2" max="2" width="11.5703125" style="61"/>
    <col min="3" max="3" width="8.5703125" style="61" customWidth="1"/>
    <col min="4" max="4" width="9.28515625" style="61" customWidth="1"/>
    <col min="5" max="10" width="10.5703125" style="61" customWidth="1"/>
    <col min="11" max="11" width="10" style="61" customWidth="1"/>
    <col min="12" max="257" width="11.5703125" style="61"/>
    <col min="258" max="258" width="21.85546875" style="61" customWidth="1"/>
    <col min="259" max="263" width="11.5703125" style="61"/>
    <col min="264" max="264" width="12.28515625" style="61" customWidth="1"/>
    <col min="265" max="513" width="11.5703125" style="61"/>
    <col min="514" max="514" width="21.85546875" style="61" customWidth="1"/>
    <col min="515" max="519" width="11.5703125" style="61"/>
    <col min="520" max="520" width="12.28515625" style="61" customWidth="1"/>
    <col min="521" max="769" width="11.5703125" style="61"/>
    <col min="770" max="770" width="21.85546875" style="61" customWidth="1"/>
    <col min="771" max="775" width="11.5703125" style="61"/>
    <col min="776" max="776" width="12.28515625" style="61" customWidth="1"/>
    <col min="777" max="1025" width="11.5703125" style="61"/>
    <col min="1026" max="1026" width="21.85546875" style="61" customWidth="1"/>
    <col min="1027" max="1031" width="11.5703125" style="61"/>
    <col min="1032" max="1032" width="12.28515625" style="61" customWidth="1"/>
    <col min="1033" max="1281" width="11.5703125" style="61"/>
    <col min="1282" max="1282" width="21.85546875" style="61" customWidth="1"/>
    <col min="1283" max="1287" width="11.5703125" style="61"/>
    <col min="1288" max="1288" width="12.28515625" style="61" customWidth="1"/>
    <col min="1289" max="1537" width="11.5703125" style="61"/>
    <col min="1538" max="1538" width="21.85546875" style="61" customWidth="1"/>
    <col min="1539" max="1543" width="11.5703125" style="61"/>
    <col min="1544" max="1544" width="12.28515625" style="61" customWidth="1"/>
    <col min="1545" max="1793" width="11.5703125" style="61"/>
    <col min="1794" max="1794" width="21.85546875" style="61" customWidth="1"/>
    <col min="1795" max="1799" width="11.5703125" style="61"/>
    <col min="1800" max="1800" width="12.28515625" style="61" customWidth="1"/>
    <col min="1801" max="2049" width="11.5703125" style="61"/>
    <col min="2050" max="2050" width="21.85546875" style="61" customWidth="1"/>
    <col min="2051" max="2055" width="11.5703125" style="61"/>
    <col min="2056" max="2056" width="12.28515625" style="61" customWidth="1"/>
    <col min="2057" max="2305" width="11.5703125" style="61"/>
    <col min="2306" max="2306" width="21.85546875" style="61" customWidth="1"/>
    <col min="2307" max="2311" width="11.5703125" style="61"/>
    <col min="2312" max="2312" width="12.28515625" style="61" customWidth="1"/>
    <col min="2313" max="2561" width="11.5703125" style="61"/>
    <col min="2562" max="2562" width="21.85546875" style="61" customWidth="1"/>
    <col min="2563" max="2567" width="11.5703125" style="61"/>
    <col min="2568" max="2568" width="12.28515625" style="61" customWidth="1"/>
    <col min="2569" max="2817" width="11.5703125" style="61"/>
    <col min="2818" max="2818" width="21.85546875" style="61" customWidth="1"/>
    <col min="2819" max="2823" width="11.5703125" style="61"/>
    <col min="2824" max="2824" width="12.28515625" style="61" customWidth="1"/>
    <col min="2825" max="3073" width="11.5703125" style="61"/>
    <col min="3074" max="3074" width="21.85546875" style="61" customWidth="1"/>
    <col min="3075" max="3079" width="11.5703125" style="61"/>
    <col min="3080" max="3080" width="12.28515625" style="61" customWidth="1"/>
    <col min="3081" max="3329" width="11.5703125" style="61"/>
    <col min="3330" max="3330" width="21.85546875" style="61" customWidth="1"/>
    <col min="3331" max="3335" width="11.5703125" style="61"/>
    <col min="3336" max="3336" width="12.28515625" style="61" customWidth="1"/>
    <col min="3337" max="3585" width="11.5703125" style="61"/>
    <col min="3586" max="3586" width="21.85546875" style="61" customWidth="1"/>
    <col min="3587" max="3591" width="11.5703125" style="61"/>
    <col min="3592" max="3592" width="12.28515625" style="61" customWidth="1"/>
    <col min="3593" max="3841" width="11.5703125" style="61"/>
    <col min="3842" max="3842" width="21.85546875" style="61" customWidth="1"/>
    <col min="3843" max="3847" width="11.5703125" style="61"/>
    <col min="3848" max="3848" width="12.28515625" style="61" customWidth="1"/>
    <col min="3849" max="4097" width="11.5703125" style="61"/>
    <col min="4098" max="4098" width="21.85546875" style="61" customWidth="1"/>
    <col min="4099" max="4103" width="11.5703125" style="61"/>
    <col min="4104" max="4104" width="12.28515625" style="61" customWidth="1"/>
    <col min="4105" max="4353" width="11.5703125" style="61"/>
    <col min="4354" max="4354" width="21.85546875" style="61" customWidth="1"/>
    <col min="4355" max="4359" width="11.5703125" style="61"/>
    <col min="4360" max="4360" width="12.28515625" style="61" customWidth="1"/>
    <col min="4361" max="4609" width="11.5703125" style="61"/>
    <col min="4610" max="4610" width="21.85546875" style="61" customWidth="1"/>
    <col min="4611" max="4615" width="11.5703125" style="61"/>
    <col min="4616" max="4616" width="12.28515625" style="61" customWidth="1"/>
    <col min="4617" max="4865" width="11.5703125" style="61"/>
    <col min="4866" max="4866" width="21.85546875" style="61" customWidth="1"/>
    <col min="4867" max="4871" width="11.5703125" style="61"/>
    <col min="4872" max="4872" width="12.28515625" style="61" customWidth="1"/>
    <col min="4873" max="5121" width="11.5703125" style="61"/>
    <col min="5122" max="5122" width="21.85546875" style="61" customWidth="1"/>
    <col min="5123" max="5127" width="11.5703125" style="61"/>
    <col min="5128" max="5128" width="12.28515625" style="61" customWidth="1"/>
    <col min="5129" max="5377" width="11.5703125" style="61"/>
    <col min="5378" max="5378" width="21.85546875" style="61" customWidth="1"/>
    <col min="5379" max="5383" width="11.5703125" style="61"/>
    <col min="5384" max="5384" width="12.28515625" style="61" customWidth="1"/>
    <col min="5385" max="5633" width="11.5703125" style="61"/>
    <col min="5634" max="5634" width="21.85546875" style="61" customWidth="1"/>
    <col min="5635" max="5639" width="11.5703125" style="61"/>
    <col min="5640" max="5640" width="12.28515625" style="61" customWidth="1"/>
    <col min="5641" max="5889" width="11.5703125" style="61"/>
    <col min="5890" max="5890" width="21.85546875" style="61" customWidth="1"/>
    <col min="5891" max="5895" width="11.5703125" style="61"/>
    <col min="5896" max="5896" width="12.28515625" style="61" customWidth="1"/>
    <col min="5897" max="6145" width="11.5703125" style="61"/>
    <col min="6146" max="6146" width="21.85546875" style="61" customWidth="1"/>
    <col min="6147" max="6151" width="11.5703125" style="61"/>
    <col min="6152" max="6152" width="12.28515625" style="61" customWidth="1"/>
    <col min="6153" max="6401" width="11.5703125" style="61"/>
    <col min="6402" max="6402" width="21.85546875" style="61" customWidth="1"/>
    <col min="6403" max="6407" width="11.5703125" style="61"/>
    <col min="6408" max="6408" width="12.28515625" style="61" customWidth="1"/>
    <col min="6409" max="6657" width="11.5703125" style="61"/>
    <col min="6658" max="6658" width="21.85546875" style="61" customWidth="1"/>
    <col min="6659" max="6663" width="11.5703125" style="61"/>
    <col min="6664" max="6664" width="12.28515625" style="61" customWidth="1"/>
    <col min="6665" max="6913" width="11.5703125" style="61"/>
    <col min="6914" max="6914" width="21.85546875" style="61" customWidth="1"/>
    <col min="6915" max="6919" width="11.5703125" style="61"/>
    <col min="6920" max="6920" width="12.28515625" style="61" customWidth="1"/>
    <col min="6921" max="7169" width="11.5703125" style="61"/>
    <col min="7170" max="7170" width="21.85546875" style="61" customWidth="1"/>
    <col min="7171" max="7175" width="11.5703125" style="61"/>
    <col min="7176" max="7176" width="12.28515625" style="61" customWidth="1"/>
    <col min="7177" max="7425" width="11.5703125" style="61"/>
    <col min="7426" max="7426" width="21.85546875" style="61" customWidth="1"/>
    <col min="7427" max="7431" width="11.5703125" style="61"/>
    <col min="7432" max="7432" width="12.28515625" style="61" customWidth="1"/>
    <col min="7433" max="7681" width="11.5703125" style="61"/>
    <col min="7682" max="7682" width="21.85546875" style="61" customWidth="1"/>
    <col min="7683" max="7687" width="11.5703125" style="61"/>
    <col min="7688" max="7688" width="12.28515625" style="61" customWidth="1"/>
    <col min="7689" max="7937" width="11.5703125" style="61"/>
    <col min="7938" max="7938" width="21.85546875" style="61" customWidth="1"/>
    <col min="7939" max="7943" width="11.5703125" style="61"/>
    <col min="7944" max="7944" width="12.28515625" style="61" customWidth="1"/>
    <col min="7945" max="8193" width="11.5703125" style="61"/>
    <col min="8194" max="8194" width="21.85546875" style="61" customWidth="1"/>
    <col min="8195" max="8199" width="11.5703125" style="61"/>
    <col min="8200" max="8200" width="12.28515625" style="61" customWidth="1"/>
    <col min="8201" max="8449" width="11.5703125" style="61"/>
    <col min="8450" max="8450" width="21.85546875" style="61" customWidth="1"/>
    <col min="8451" max="8455" width="11.5703125" style="61"/>
    <col min="8456" max="8456" width="12.28515625" style="61" customWidth="1"/>
    <col min="8457" max="8705" width="11.5703125" style="61"/>
    <col min="8706" max="8706" width="21.85546875" style="61" customWidth="1"/>
    <col min="8707" max="8711" width="11.5703125" style="61"/>
    <col min="8712" max="8712" width="12.28515625" style="61" customWidth="1"/>
    <col min="8713" max="8961" width="11.5703125" style="61"/>
    <col min="8962" max="8962" width="21.85546875" style="61" customWidth="1"/>
    <col min="8963" max="8967" width="11.5703125" style="61"/>
    <col min="8968" max="8968" width="12.28515625" style="61" customWidth="1"/>
    <col min="8969" max="9217" width="11.5703125" style="61"/>
    <col min="9218" max="9218" width="21.85546875" style="61" customWidth="1"/>
    <col min="9219" max="9223" width="11.5703125" style="61"/>
    <col min="9224" max="9224" width="12.28515625" style="61" customWidth="1"/>
    <col min="9225" max="9473" width="11.5703125" style="61"/>
    <col min="9474" max="9474" width="21.85546875" style="61" customWidth="1"/>
    <col min="9475" max="9479" width="11.5703125" style="61"/>
    <col min="9480" max="9480" width="12.28515625" style="61" customWidth="1"/>
    <col min="9481" max="9729" width="11.5703125" style="61"/>
    <col min="9730" max="9730" width="21.85546875" style="61" customWidth="1"/>
    <col min="9731" max="9735" width="11.5703125" style="61"/>
    <col min="9736" max="9736" width="12.28515625" style="61" customWidth="1"/>
    <col min="9737" max="9985" width="11.5703125" style="61"/>
    <col min="9986" max="9986" width="21.85546875" style="61" customWidth="1"/>
    <col min="9987" max="9991" width="11.5703125" style="61"/>
    <col min="9992" max="9992" width="12.28515625" style="61" customWidth="1"/>
    <col min="9993" max="10241" width="11.5703125" style="61"/>
    <col min="10242" max="10242" width="21.85546875" style="61" customWidth="1"/>
    <col min="10243" max="10247" width="11.5703125" style="61"/>
    <col min="10248" max="10248" width="12.28515625" style="61" customWidth="1"/>
    <col min="10249" max="10497" width="11.5703125" style="61"/>
    <col min="10498" max="10498" width="21.85546875" style="61" customWidth="1"/>
    <col min="10499" max="10503" width="11.5703125" style="61"/>
    <col min="10504" max="10504" width="12.28515625" style="61" customWidth="1"/>
    <col min="10505" max="10753" width="11.5703125" style="61"/>
    <col min="10754" max="10754" width="21.85546875" style="61" customWidth="1"/>
    <col min="10755" max="10759" width="11.5703125" style="61"/>
    <col min="10760" max="10760" width="12.28515625" style="61" customWidth="1"/>
    <col min="10761" max="11009" width="11.5703125" style="61"/>
    <col min="11010" max="11010" width="21.85546875" style="61" customWidth="1"/>
    <col min="11011" max="11015" width="11.5703125" style="61"/>
    <col min="11016" max="11016" width="12.28515625" style="61" customWidth="1"/>
    <col min="11017" max="11265" width="11.5703125" style="61"/>
    <col min="11266" max="11266" width="21.85546875" style="61" customWidth="1"/>
    <col min="11267" max="11271" width="11.5703125" style="61"/>
    <col min="11272" max="11272" width="12.28515625" style="61" customWidth="1"/>
    <col min="11273" max="11521" width="11.5703125" style="61"/>
    <col min="11522" max="11522" width="21.85546875" style="61" customWidth="1"/>
    <col min="11523" max="11527" width="11.5703125" style="61"/>
    <col min="11528" max="11528" width="12.28515625" style="61" customWidth="1"/>
    <col min="11529" max="11777" width="11.5703125" style="61"/>
    <col min="11778" max="11778" width="21.85546875" style="61" customWidth="1"/>
    <col min="11779" max="11783" width="11.5703125" style="61"/>
    <col min="11784" max="11784" width="12.28515625" style="61" customWidth="1"/>
    <col min="11785" max="12033" width="11.5703125" style="61"/>
    <col min="12034" max="12034" width="21.85546875" style="61" customWidth="1"/>
    <col min="12035" max="12039" width="11.5703125" style="61"/>
    <col min="12040" max="12040" width="12.28515625" style="61" customWidth="1"/>
    <col min="12041" max="12289" width="11.5703125" style="61"/>
    <col min="12290" max="12290" width="21.85546875" style="61" customWidth="1"/>
    <col min="12291" max="12295" width="11.5703125" style="61"/>
    <col min="12296" max="12296" width="12.28515625" style="61" customWidth="1"/>
    <col min="12297" max="12545" width="11.5703125" style="61"/>
    <col min="12546" max="12546" width="21.85546875" style="61" customWidth="1"/>
    <col min="12547" max="12551" width="11.5703125" style="61"/>
    <col min="12552" max="12552" width="12.28515625" style="61" customWidth="1"/>
    <col min="12553" max="12801" width="11.5703125" style="61"/>
    <col min="12802" max="12802" width="21.85546875" style="61" customWidth="1"/>
    <col min="12803" max="12807" width="11.5703125" style="61"/>
    <col min="12808" max="12808" width="12.28515625" style="61" customWidth="1"/>
    <col min="12809" max="13057" width="11.5703125" style="61"/>
    <col min="13058" max="13058" width="21.85546875" style="61" customWidth="1"/>
    <col min="13059" max="13063" width="11.5703125" style="61"/>
    <col min="13064" max="13064" width="12.28515625" style="61" customWidth="1"/>
    <col min="13065" max="13313" width="11.5703125" style="61"/>
    <col min="13314" max="13314" width="21.85546875" style="61" customWidth="1"/>
    <col min="13315" max="13319" width="11.5703125" style="61"/>
    <col min="13320" max="13320" width="12.28515625" style="61" customWidth="1"/>
    <col min="13321" max="13569" width="11.5703125" style="61"/>
    <col min="13570" max="13570" width="21.85546875" style="61" customWidth="1"/>
    <col min="13571" max="13575" width="11.5703125" style="61"/>
    <col min="13576" max="13576" width="12.28515625" style="61" customWidth="1"/>
    <col min="13577" max="13825" width="11.5703125" style="61"/>
    <col min="13826" max="13826" width="21.85546875" style="61" customWidth="1"/>
    <col min="13827" max="13831" width="11.5703125" style="61"/>
    <col min="13832" max="13832" width="12.28515625" style="61" customWidth="1"/>
    <col min="13833" max="14081" width="11.5703125" style="61"/>
    <col min="14082" max="14082" width="21.85546875" style="61" customWidth="1"/>
    <col min="14083" max="14087" width="11.5703125" style="61"/>
    <col min="14088" max="14088" width="12.28515625" style="61" customWidth="1"/>
    <col min="14089" max="14337" width="11.5703125" style="61"/>
    <col min="14338" max="14338" width="21.85546875" style="61" customWidth="1"/>
    <col min="14339" max="14343" width="11.5703125" style="61"/>
    <col min="14344" max="14344" width="12.28515625" style="61" customWidth="1"/>
    <col min="14345" max="14593" width="11.5703125" style="61"/>
    <col min="14594" max="14594" width="21.85546875" style="61" customWidth="1"/>
    <col min="14595" max="14599" width="11.5703125" style="61"/>
    <col min="14600" max="14600" width="12.28515625" style="61" customWidth="1"/>
    <col min="14601" max="14849" width="11.5703125" style="61"/>
    <col min="14850" max="14850" width="21.85546875" style="61" customWidth="1"/>
    <col min="14851" max="14855" width="11.5703125" style="61"/>
    <col min="14856" max="14856" width="12.28515625" style="61" customWidth="1"/>
    <col min="14857" max="15105" width="11.5703125" style="61"/>
    <col min="15106" max="15106" width="21.85546875" style="61" customWidth="1"/>
    <col min="15107" max="15111" width="11.5703125" style="61"/>
    <col min="15112" max="15112" width="12.28515625" style="61" customWidth="1"/>
    <col min="15113" max="15361" width="11.5703125" style="61"/>
    <col min="15362" max="15362" width="21.85546875" style="61" customWidth="1"/>
    <col min="15363" max="15367" width="11.5703125" style="61"/>
    <col min="15368" max="15368" width="12.28515625" style="61" customWidth="1"/>
    <col min="15369" max="15617" width="11.5703125" style="61"/>
    <col min="15618" max="15618" width="21.85546875" style="61" customWidth="1"/>
    <col min="15619" max="15623" width="11.5703125" style="61"/>
    <col min="15624" max="15624" width="12.28515625" style="61" customWidth="1"/>
    <col min="15625" max="15873" width="11.5703125" style="61"/>
    <col min="15874" max="15874" width="21.85546875" style="61" customWidth="1"/>
    <col min="15875" max="15879" width="11.5703125" style="61"/>
    <col min="15880" max="15880" width="12.28515625" style="61" customWidth="1"/>
    <col min="15881" max="16129" width="11.5703125" style="61"/>
    <col min="16130" max="16130" width="21.85546875" style="61" customWidth="1"/>
    <col min="16131" max="16135" width="11.5703125" style="61"/>
    <col min="16136" max="16136" width="12.28515625" style="61" customWidth="1"/>
    <col min="16137" max="16384" width="11.5703125" style="61"/>
  </cols>
  <sheetData>
    <row r="1" spans="1:24" s="170" customFormat="1" ht="12.75" customHeight="1">
      <c r="A1" s="169" t="s">
        <v>154</v>
      </c>
    </row>
    <row r="2" spans="1:24" s="170" customFormat="1" ht="12.75" customHeight="1">
      <c r="A2" s="169" t="s">
        <v>141</v>
      </c>
    </row>
    <row r="3" spans="1:24" s="170" customFormat="1" ht="9.6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88"/>
      <c r="K3" s="171"/>
    </row>
    <row r="4" spans="1:24" s="172" customFormat="1" ht="15" customHeight="1">
      <c r="A4" s="254"/>
      <c r="B4" s="238" t="s">
        <v>155</v>
      </c>
      <c r="C4" s="241" t="s">
        <v>143</v>
      </c>
      <c r="D4" s="257" t="s">
        <v>150</v>
      </c>
      <c r="E4" s="259" t="s">
        <v>156</v>
      </c>
      <c r="F4" s="244"/>
      <c r="G4" s="244"/>
      <c r="H4" s="244"/>
      <c r="I4" s="244"/>
      <c r="J4" s="260"/>
      <c r="K4" s="250" t="s">
        <v>157</v>
      </c>
    </row>
    <row r="5" spans="1:24" s="172" customFormat="1" ht="40.5" customHeight="1">
      <c r="A5" s="255"/>
      <c r="B5" s="256"/>
      <c r="C5" s="243"/>
      <c r="D5" s="258"/>
      <c r="E5" s="173" t="s">
        <v>5</v>
      </c>
      <c r="F5" s="173" t="s">
        <v>158</v>
      </c>
      <c r="G5" s="173" t="s">
        <v>159</v>
      </c>
      <c r="H5" s="173" t="s">
        <v>160</v>
      </c>
      <c r="I5" s="173" t="s">
        <v>161</v>
      </c>
      <c r="J5" s="173" t="s">
        <v>162</v>
      </c>
      <c r="K5" s="251"/>
      <c r="M5" s="180"/>
      <c r="N5" s="180"/>
    </row>
    <row r="6" spans="1:24" s="170" customFormat="1" ht="12.75" customHeight="1">
      <c r="A6" s="174" t="s">
        <v>150</v>
      </c>
      <c r="B6" s="175">
        <v>11054408</v>
      </c>
      <c r="C6" s="176">
        <v>100</v>
      </c>
      <c r="D6" s="177">
        <v>100.00000000000001</v>
      </c>
      <c r="E6" s="178">
        <v>99.180317932900621</v>
      </c>
      <c r="F6" s="178">
        <v>30.564938439037171</v>
      </c>
      <c r="G6" s="178">
        <v>11.854709903958675</v>
      </c>
      <c r="H6" s="178">
        <v>53.794902449773886</v>
      </c>
      <c r="I6" s="178">
        <v>1.9532027404814443</v>
      </c>
      <c r="J6" s="178">
        <v>1.0125643996494431</v>
      </c>
      <c r="K6" s="179">
        <v>0.81968206709938707</v>
      </c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</row>
    <row r="7" spans="1:24" s="170" customFormat="1" ht="12.75" customHeight="1">
      <c r="A7" s="181" t="s">
        <v>9</v>
      </c>
      <c r="B7" s="182">
        <v>1350514</v>
      </c>
      <c r="C7" s="183">
        <v>12.216972632093913</v>
      </c>
      <c r="D7" s="184">
        <v>100</v>
      </c>
      <c r="E7" s="185">
        <v>99.217409075359456</v>
      </c>
      <c r="F7" s="185">
        <v>29.573925187002875</v>
      </c>
      <c r="G7" s="185">
        <v>7.6995869720713745</v>
      </c>
      <c r="H7" s="185">
        <v>59.676019648815192</v>
      </c>
      <c r="I7" s="185">
        <v>1.1353455054890211</v>
      </c>
      <c r="J7" s="185">
        <v>1.1325317619809938</v>
      </c>
      <c r="K7" s="186">
        <v>0.78259092464054414</v>
      </c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</row>
    <row r="8" spans="1:24" s="170" customFormat="1" ht="12.75" customHeight="1">
      <c r="A8" s="180" t="s">
        <v>23</v>
      </c>
      <c r="B8" s="182">
        <v>251472</v>
      </c>
      <c r="C8" s="183">
        <v>2.2748572334221788</v>
      </c>
      <c r="D8" s="184">
        <v>100</v>
      </c>
      <c r="E8" s="185">
        <v>99.677896545142204</v>
      </c>
      <c r="F8" s="185">
        <v>25.428278297384999</v>
      </c>
      <c r="G8" s="185">
        <v>11.939699051981931</v>
      </c>
      <c r="H8" s="185">
        <v>60.045253547114584</v>
      </c>
      <c r="I8" s="185">
        <v>1.3532321689889928</v>
      </c>
      <c r="J8" s="185">
        <v>0.91143347967169297</v>
      </c>
      <c r="K8" s="186">
        <v>0.32210345485779729</v>
      </c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</row>
    <row r="9" spans="1:24" s="170" customFormat="1" ht="12.75" customHeight="1">
      <c r="A9" s="181" t="s">
        <v>57</v>
      </c>
      <c r="B9" s="182">
        <v>148592</v>
      </c>
      <c r="C9" s="183">
        <v>1.3441877665452551</v>
      </c>
      <c r="D9" s="184">
        <v>100.0006729837407</v>
      </c>
      <c r="E9" s="185">
        <v>98.604904705502307</v>
      </c>
      <c r="F9" s="185">
        <v>25.814310326262518</v>
      </c>
      <c r="G9" s="185">
        <v>10.575939485302035</v>
      </c>
      <c r="H9" s="185">
        <v>58.705044686120381</v>
      </c>
      <c r="I9" s="185">
        <v>2.3857273608269622</v>
      </c>
      <c r="J9" s="185">
        <v>1.1238828469904167</v>
      </c>
      <c r="K9" s="186">
        <v>1.3957682782383978</v>
      </c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</row>
    <row r="10" spans="1:24" s="170" customFormat="1" ht="12.75" customHeight="1">
      <c r="A10" s="181" t="s">
        <v>163</v>
      </c>
      <c r="B10" s="182">
        <v>279857</v>
      </c>
      <c r="C10" s="183">
        <v>2.5316326301688883</v>
      </c>
      <c r="D10" s="184">
        <v>100.0003573253483</v>
      </c>
      <c r="E10" s="185">
        <v>99.810617565399468</v>
      </c>
      <c r="F10" s="185">
        <v>27.258206869937148</v>
      </c>
      <c r="G10" s="185">
        <v>9.2983202135376288</v>
      </c>
      <c r="H10" s="185">
        <v>61.941634477608211</v>
      </c>
      <c r="I10" s="185">
        <v>0.86544199358958329</v>
      </c>
      <c r="J10" s="185">
        <v>0.44701401072690694</v>
      </c>
      <c r="K10" s="186">
        <v>0.18973975994883099</v>
      </c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</row>
    <row r="11" spans="1:24" s="170" customFormat="1" ht="12.75" customHeight="1">
      <c r="A11" s="181" t="s">
        <v>10</v>
      </c>
      <c r="B11" s="182">
        <v>312670</v>
      </c>
      <c r="C11" s="183">
        <v>2.8284644460381774</v>
      </c>
      <c r="D11" s="184">
        <v>100.00031982601465</v>
      </c>
      <c r="E11" s="185">
        <v>98.318354814980651</v>
      </c>
      <c r="F11" s="185">
        <v>42.168420379313652</v>
      </c>
      <c r="G11" s="185">
        <v>13.676719864393769</v>
      </c>
      <c r="H11" s="185">
        <v>38.4238973998145</v>
      </c>
      <c r="I11" s="185">
        <v>2.2448587968145328</v>
      </c>
      <c r="J11" s="185">
        <v>1.8044583746441936</v>
      </c>
      <c r="K11" s="186">
        <v>1.6819650110339974</v>
      </c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</row>
    <row r="12" spans="1:24" s="170" customFormat="1" ht="12.75" customHeight="1">
      <c r="A12" s="180" t="s">
        <v>24</v>
      </c>
      <c r="B12" s="182">
        <v>104094</v>
      </c>
      <c r="C12" s="183">
        <v>0.94165151132471325</v>
      </c>
      <c r="D12" s="184">
        <v>100</v>
      </c>
      <c r="E12" s="185">
        <v>99.210329125598022</v>
      </c>
      <c r="F12" s="185">
        <v>9.2944838319211485</v>
      </c>
      <c r="G12" s="185">
        <v>8.0532979806713154</v>
      </c>
      <c r="H12" s="185">
        <v>79.023766979845149</v>
      </c>
      <c r="I12" s="185">
        <v>2.5304052106749668</v>
      </c>
      <c r="J12" s="185">
        <v>0.30837512248544585</v>
      </c>
      <c r="K12" s="186">
        <v>0.78967087440198291</v>
      </c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</row>
    <row r="13" spans="1:24" s="170" customFormat="1" ht="12.75" customHeight="1">
      <c r="A13" s="180" t="s">
        <v>25</v>
      </c>
      <c r="B13" s="182">
        <v>390040</v>
      </c>
      <c r="C13" s="183">
        <v>3.5283662408697056</v>
      </c>
      <c r="D13" s="184">
        <v>100</v>
      </c>
      <c r="E13" s="185">
        <v>99.152394626192191</v>
      </c>
      <c r="F13" s="185">
        <v>14.370320992718696</v>
      </c>
      <c r="G13" s="185">
        <v>6.4201107578709875</v>
      </c>
      <c r="H13" s="185">
        <v>75.128961132191577</v>
      </c>
      <c r="I13" s="185">
        <v>2.447954055994257</v>
      </c>
      <c r="J13" s="185">
        <v>0.78504768741667519</v>
      </c>
      <c r="K13" s="186">
        <v>0.84760537380781464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</row>
    <row r="14" spans="1:24" s="170" customFormat="1" ht="12.75" customHeight="1">
      <c r="A14" s="180" t="s">
        <v>26</v>
      </c>
      <c r="B14" s="182">
        <v>208183</v>
      </c>
      <c r="C14" s="183">
        <v>1.8832577918238589</v>
      </c>
      <c r="D14" s="184">
        <v>100.00000000000001</v>
      </c>
      <c r="E14" s="185">
        <v>99.632534837138493</v>
      </c>
      <c r="F14" s="185">
        <v>19.841677754667771</v>
      </c>
      <c r="G14" s="185">
        <v>8.2105647435189244</v>
      </c>
      <c r="H14" s="185">
        <v>69.369737202365229</v>
      </c>
      <c r="I14" s="185">
        <v>1.4530485198118963</v>
      </c>
      <c r="J14" s="185">
        <v>0.75750661677466458</v>
      </c>
      <c r="K14" s="186">
        <v>0.36746516286152087</v>
      </c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</row>
    <row r="15" spans="1:24" s="170" customFormat="1" ht="12.75" customHeight="1">
      <c r="A15" s="180" t="s">
        <v>11</v>
      </c>
      <c r="B15" s="182">
        <v>2363462</v>
      </c>
      <c r="C15" s="183">
        <v>21.380267491483941</v>
      </c>
      <c r="D15" s="184">
        <v>100.00000000000001</v>
      </c>
      <c r="E15" s="185">
        <v>99.078766656709533</v>
      </c>
      <c r="F15" s="185">
        <v>34.080048674359901</v>
      </c>
      <c r="G15" s="185">
        <v>13.982496862653177</v>
      </c>
      <c r="H15" s="185">
        <v>47.112413908072142</v>
      </c>
      <c r="I15" s="185">
        <v>2.9603183804097548</v>
      </c>
      <c r="J15" s="185">
        <v>0.94348883121454885</v>
      </c>
      <c r="K15" s="186">
        <v>0.92123334329047812</v>
      </c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</row>
    <row r="16" spans="1:24" s="170" customFormat="1" ht="12.75" customHeight="1">
      <c r="A16" s="187" t="s">
        <v>151</v>
      </c>
      <c r="B16" s="182">
        <v>1185489</v>
      </c>
      <c r="C16" s="183">
        <v>10.724129234238506</v>
      </c>
      <c r="D16" s="184">
        <v>99.99991564662345</v>
      </c>
      <c r="E16" s="185">
        <v>99.059291144835584</v>
      </c>
      <c r="F16" s="185">
        <v>28.666820189811972</v>
      </c>
      <c r="G16" s="185">
        <v>11.68901609378071</v>
      </c>
      <c r="H16" s="185">
        <v>56.411573620674673</v>
      </c>
      <c r="I16" s="185">
        <v>1.4773650367063718</v>
      </c>
      <c r="J16" s="185">
        <v>0.81451620386186629</v>
      </c>
      <c r="K16" s="186">
        <v>0.94062450178786972</v>
      </c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</row>
    <row r="17" spans="1:24" s="170" customFormat="1" ht="12.75" customHeight="1">
      <c r="A17" s="180" t="s">
        <v>27</v>
      </c>
      <c r="B17" s="182">
        <v>105491</v>
      </c>
      <c r="C17" s="183">
        <v>0.95428900398827321</v>
      </c>
      <c r="D17" s="184">
        <v>100.00000000000001</v>
      </c>
      <c r="E17" s="185">
        <v>99.722251187305091</v>
      </c>
      <c r="F17" s="185">
        <v>11.979220976197022</v>
      </c>
      <c r="G17" s="185">
        <v>5.281967182034486</v>
      </c>
      <c r="H17" s="185">
        <v>80.367993478116617</v>
      </c>
      <c r="I17" s="185">
        <v>1.4532045387758197</v>
      </c>
      <c r="J17" s="185">
        <v>0.6398650121811339</v>
      </c>
      <c r="K17" s="186">
        <v>0.27774881269492185</v>
      </c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</row>
    <row r="18" spans="1:24" s="170" customFormat="1" ht="12.75" customHeight="1">
      <c r="A18" s="180" t="s">
        <v>12</v>
      </c>
      <c r="B18" s="182">
        <v>403304</v>
      </c>
      <c r="C18" s="183">
        <v>3.6483545749351753</v>
      </c>
      <c r="D18" s="184">
        <v>99.999999999999986</v>
      </c>
      <c r="E18" s="185">
        <v>99.552694741435729</v>
      </c>
      <c r="F18" s="185">
        <v>24.717582766349949</v>
      </c>
      <c r="G18" s="185">
        <v>12.123113085910381</v>
      </c>
      <c r="H18" s="185">
        <v>60.235951044373472</v>
      </c>
      <c r="I18" s="185">
        <v>1.3215837184853112</v>
      </c>
      <c r="J18" s="185">
        <v>1.1544641263166247</v>
      </c>
      <c r="K18" s="186">
        <v>0.44730525856425923</v>
      </c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</row>
    <row r="19" spans="1:24" s="170" customFormat="1" ht="12.75" customHeight="1">
      <c r="A19" s="181" t="s">
        <v>52</v>
      </c>
      <c r="B19" s="182">
        <v>2468347</v>
      </c>
      <c r="C19" s="183">
        <v>22.329074519413432</v>
      </c>
      <c r="D19" s="184">
        <v>99.999999999999986</v>
      </c>
      <c r="E19" s="185">
        <v>99.115399901229438</v>
      </c>
      <c r="F19" s="185">
        <v>42.453633950169888</v>
      </c>
      <c r="G19" s="185">
        <v>15.616523932818197</v>
      </c>
      <c r="H19" s="185">
        <v>37.742910538915311</v>
      </c>
      <c r="I19" s="185">
        <v>2.3595953081151073</v>
      </c>
      <c r="J19" s="185">
        <v>0.942736171210936</v>
      </c>
      <c r="K19" s="186">
        <v>0.88460009877055368</v>
      </c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</row>
    <row r="20" spans="1:24" s="170" customFormat="1" ht="12.75" customHeight="1">
      <c r="A20" s="181" t="s">
        <v>53</v>
      </c>
      <c r="B20" s="182">
        <v>284097</v>
      </c>
      <c r="C20" s="183">
        <v>2.56998837025013</v>
      </c>
      <c r="D20" s="184">
        <v>100</v>
      </c>
      <c r="E20" s="185">
        <v>98.788089983350758</v>
      </c>
      <c r="F20" s="185">
        <v>18.742542159896093</v>
      </c>
      <c r="G20" s="185">
        <v>4.6793876739282707</v>
      </c>
      <c r="H20" s="185">
        <v>73.969102102450918</v>
      </c>
      <c r="I20" s="185">
        <v>0.92503616722457471</v>
      </c>
      <c r="J20" s="185">
        <v>0.47202187985089605</v>
      </c>
      <c r="K20" s="186">
        <v>1.2119100166492429</v>
      </c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</row>
    <row r="21" spans="1:24" s="170" customFormat="1" ht="12.75" customHeight="1">
      <c r="A21" s="181" t="s">
        <v>13</v>
      </c>
      <c r="B21" s="182">
        <v>171336</v>
      </c>
      <c r="C21" s="183">
        <v>1.5499337458867086</v>
      </c>
      <c r="D21" s="184">
        <v>100.00000000000001</v>
      </c>
      <c r="E21" s="185">
        <v>99.720432366811423</v>
      </c>
      <c r="F21" s="185">
        <v>13.277419806695615</v>
      </c>
      <c r="G21" s="185">
        <v>11.249824905448943</v>
      </c>
      <c r="H21" s="185">
        <v>72.713265163188126</v>
      </c>
      <c r="I21" s="185">
        <v>1.5793528505392913</v>
      </c>
      <c r="J21" s="185">
        <v>0.90056964093944059</v>
      </c>
      <c r="K21" s="186">
        <v>0.27956763318858852</v>
      </c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</row>
    <row r="22" spans="1:24" s="170" customFormat="1" ht="12.75" customHeight="1">
      <c r="A22" s="181" t="s">
        <v>14</v>
      </c>
      <c r="B22" s="182">
        <v>945371</v>
      </c>
      <c r="C22" s="183">
        <v>8.5519821595150098</v>
      </c>
      <c r="D22" s="184">
        <v>100.00000000000001</v>
      </c>
      <c r="E22" s="185">
        <v>99.431545922182949</v>
      </c>
      <c r="F22" s="185">
        <v>17.904187879678986</v>
      </c>
      <c r="G22" s="185">
        <v>10.114441843466745</v>
      </c>
      <c r="H22" s="185">
        <v>68.687425359990954</v>
      </c>
      <c r="I22" s="185">
        <v>0.94745872255442565</v>
      </c>
      <c r="J22" s="185">
        <v>1.7780321164918325</v>
      </c>
      <c r="K22" s="186">
        <v>0.56845407781706869</v>
      </c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</row>
    <row r="23" spans="1:24" s="170" customFormat="1" ht="12.75" customHeight="1">
      <c r="A23" s="181" t="s">
        <v>28</v>
      </c>
      <c r="B23" s="182">
        <v>61686</v>
      </c>
      <c r="C23" s="183">
        <v>0.55802174119138725</v>
      </c>
      <c r="D23" s="184">
        <v>99.999999999999986</v>
      </c>
      <c r="E23" s="185">
        <v>99.489349285088991</v>
      </c>
      <c r="F23" s="185">
        <v>15.360049281846772</v>
      </c>
      <c r="G23" s="185">
        <v>6.4390623480206202</v>
      </c>
      <c r="H23" s="185">
        <v>74.321564050189664</v>
      </c>
      <c r="I23" s="185">
        <v>2.6910482119119412</v>
      </c>
      <c r="J23" s="185">
        <v>0.67762539311999481</v>
      </c>
      <c r="K23" s="186">
        <v>0.51065071491100089</v>
      </c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</row>
    <row r="24" spans="1:24" s="170" customFormat="1" ht="12.75" customHeight="1">
      <c r="A24" s="180" t="s">
        <v>152</v>
      </c>
      <c r="B24" s="182">
        <v>11177</v>
      </c>
      <c r="C24" s="183">
        <v>0.10110898747359424</v>
      </c>
      <c r="D24" s="184">
        <v>100</v>
      </c>
      <c r="E24" s="185">
        <v>100</v>
      </c>
      <c r="F24" s="185">
        <v>5.8691956696788044</v>
      </c>
      <c r="G24" s="185">
        <v>0.24156750469714591</v>
      </c>
      <c r="H24" s="185">
        <v>93.611881542453261</v>
      </c>
      <c r="I24" s="185" t="s">
        <v>167</v>
      </c>
      <c r="J24" s="185">
        <v>0.27735528317079716</v>
      </c>
      <c r="K24" s="186">
        <v>0</v>
      </c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</row>
    <row r="25" spans="1:24" s="170" customFormat="1" ht="12.75" customHeight="1">
      <c r="A25" s="180" t="s">
        <v>153</v>
      </c>
      <c r="B25" s="182">
        <v>9226</v>
      </c>
      <c r="C25" s="183">
        <v>8.3459919337154909E-2</v>
      </c>
      <c r="D25" s="184">
        <v>100</v>
      </c>
      <c r="E25" s="185">
        <v>99.913288532408416</v>
      </c>
      <c r="F25" s="185">
        <v>10.6329937134186</v>
      </c>
      <c r="G25" s="185">
        <v>3.0132234988077173</v>
      </c>
      <c r="H25" s="185">
        <v>80.045523520485588</v>
      </c>
      <c r="I25" s="185">
        <v>4.8666811185779322</v>
      </c>
      <c r="J25" s="185">
        <v>1.3548666811185779</v>
      </c>
      <c r="K25" s="186">
        <v>8.6711467591588987E-2</v>
      </c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</row>
    <row r="27" spans="1:24">
      <c r="A27" s="180"/>
      <c r="B27" s="252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</row>
  </sheetData>
  <mergeCells count="7">
    <mergeCell ref="B27:N27"/>
    <mergeCell ref="A4:A5"/>
    <mergeCell ref="B4:B5"/>
    <mergeCell ref="C4:C5"/>
    <mergeCell ref="D4:D5"/>
    <mergeCell ref="E4:J4"/>
    <mergeCell ref="K4:K5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Normal="100" workbookViewId="0">
      <selection activeCell="A28" sqref="A28"/>
    </sheetView>
  </sheetViews>
  <sheetFormatPr baseColWidth="10" defaultRowHeight="12" customHeight="1"/>
  <cols>
    <col min="1" max="1" width="19" style="170" customWidth="1"/>
    <col min="2" max="2" width="10.140625" style="170" customWidth="1"/>
    <col min="3" max="5" width="8.7109375" style="170" customWidth="1"/>
    <col min="6" max="7" width="9.5703125" style="170" customWidth="1"/>
    <col min="8" max="8" width="9.7109375" style="170" customWidth="1"/>
    <col min="9" max="10" width="8.7109375" style="170" customWidth="1"/>
    <col min="11" max="257" width="11.5703125" style="170"/>
    <col min="258" max="258" width="19" style="170" customWidth="1"/>
    <col min="259" max="259" width="10.140625" style="170" customWidth="1"/>
    <col min="260" max="262" width="8.7109375" style="170" customWidth="1"/>
    <col min="263" max="263" width="9.5703125" style="170" customWidth="1"/>
    <col min="264" max="264" width="9.7109375" style="170" customWidth="1"/>
    <col min="265" max="266" width="8.7109375" style="170" customWidth="1"/>
    <col min="267" max="513" width="11.5703125" style="170"/>
    <col min="514" max="514" width="19" style="170" customWidth="1"/>
    <col min="515" max="515" width="10.140625" style="170" customWidth="1"/>
    <col min="516" max="518" width="8.7109375" style="170" customWidth="1"/>
    <col min="519" max="519" width="9.5703125" style="170" customWidth="1"/>
    <col min="520" max="520" width="9.7109375" style="170" customWidth="1"/>
    <col min="521" max="522" width="8.7109375" style="170" customWidth="1"/>
    <col min="523" max="769" width="11.5703125" style="170"/>
    <col min="770" max="770" width="19" style="170" customWidth="1"/>
    <col min="771" max="771" width="10.140625" style="170" customWidth="1"/>
    <col min="772" max="774" width="8.7109375" style="170" customWidth="1"/>
    <col min="775" max="775" width="9.5703125" style="170" customWidth="1"/>
    <col min="776" max="776" width="9.7109375" style="170" customWidth="1"/>
    <col min="777" max="778" width="8.7109375" style="170" customWidth="1"/>
    <col min="779" max="1025" width="11.5703125" style="170"/>
    <col min="1026" max="1026" width="19" style="170" customWidth="1"/>
    <col min="1027" max="1027" width="10.140625" style="170" customWidth="1"/>
    <col min="1028" max="1030" width="8.7109375" style="170" customWidth="1"/>
    <col min="1031" max="1031" width="9.5703125" style="170" customWidth="1"/>
    <col min="1032" max="1032" width="9.7109375" style="170" customWidth="1"/>
    <col min="1033" max="1034" width="8.7109375" style="170" customWidth="1"/>
    <col min="1035" max="1281" width="11.5703125" style="170"/>
    <col min="1282" max="1282" width="19" style="170" customWidth="1"/>
    <col min="1283" max="1283" width="10.140625" style="170" customWidth="1"/>
    <col min="1284" max="1286" width="8.7109375" style="170" customWidth="1"/>
    <col min="1287" max="1287" width="9.5703125" style="170" customWidth="1"/>
    <col min="1288" max="1288" width="9.7109375" style="170" customWidth="1"/>
    <col min="1289" max="1290" width="8.7109375" style="170" customWidth="1"/>
    <col min="1291" max="1537" width="11.5703125" style="170"/>
    <col min="1538" max="1538" width="19" style="170" customWidth="1"/>
    <col min="1539" max="1539" width="10.140625" style="170" customWidth="1"/>
    <col min="1540" max="1542" width="8.7109375" style="170" customWidth="1"/>
    <col min="1543" max="1543" width="9.5703125" style="170" customWidth="1"/>
    <col min="1544" max="1544" width="9.7109375" style="170" customWidth="1"/>
    <col min="1545" max="1546" width="8.7109375" style="170" customWidth="1"/>
    <col min="1547" max="1793" width="11.5703125" style="170"/>
    <col min="1794" max="1794" width="19" style="170" customWidth="1"/>
    <col min="1795" max="1795" width="10.140625" style="170" customWidth="1"/>
    <col min="1796" max="1798" width="8.7109375" style="170" customWidth="1"/>
    <col min="1799" max="1799" width="9.5703125" style="170" customWidth="1"/>
    <col min="1800" max="1800" width="9.7109375" style="170" customWidth="1"/>
    <col min="1801" max="1802" width="8.7109375" style="170" customWidth="1"/>
    <col min="1803" max="2049" width="11.5703125" style="170"/>
    <col min="2050" max="2050" width="19" style="170" customWidth="1"/>
    <col min="2051" max="2051" width="10.140625" style="170" customWidth="1"/>
    <col min="2052" max="2054" width="8.7109375" style="170" customWidth="1"/>
    <col min="2055" max="2055" width="9.5703125" style="170" customWidth="1"/>
    <col min="2056" max="2056" width="9.7109375" style="170" customWidth="1"/>
    <col min="2057" max="2058" width="8.7109375" style="170" customWidth="1"/>
    <col min="2059" max="2305" width="11.5703125" style="170"/>
    <col min="2306" max="2306" width="19" style="170" customWidth="1"/>
    <col min="2307" max="2307" width="10.140625" style="170" customWidth="1"/>
    <col min="2308" max="2310" width="8.7109375" style="170" customWidth="1"/>
    <col min="2311" max="2311" width="9.5703125" style="170" customWidth="1"/>
    <col min="2312" max="2312" width="9.7109375" style="170" customWidth="1"/>
    <col min="2313" max="2314" width="8.7109375" style="170" customWidth="1"/>
    <col min="2315" max="2561" width="11.5703125" style="170"/>
    <col min="2562" max="2562" width="19" style="170" customWidth="1"/>
    <col min="2563" max="2563" width="10.140625" style="170" customWidth="1"/>
    <col min="2564" max="2566" width="8.7109375" style="170" customWidth="1"/>
    <col min="2567" max="2567" width="9.5703125" style="170" customWidth="1"/>
    <col min="2568" max="2568" width="9.7109375" style="170" customWidth="1"/>
    <col min="2569" max="2570" width="8.7109375" style="170" customWidth="1"/>
    <col min="2571" max="2817" width="11.5703125" style="170"/>
    <col min="2818" max="2818" width="19" style="170" customWidth="1"/>
    <col min="2819" max="2819" width="10.140625" style="170" customWidth="1"/>
    <col min="2820" max="2822" width="8.7109375" style="170" customWidth="1"/>
    <col min="2823" max="2823" width="9.5703125" style="170" customWidth="1"/>
    <col min="2824" max="2824" width="9.7109375" style="170" customWidth="1"/>
    <col min="2825" max="2826" width="8.7109375" style="170" customWidth="1"/>
    <col min="2827" max="3073" width="11.5703125" style="170"/>
    <col min="3074" max="3074" width="19" style="170" customWidth="1"/>
    <col min="3075" max="3075" width="10.140625" style="170" customWidth="1"/>
    <col min="3076" max="3078" width="8.7109375" style="170" customWidth="1"/>
    <col min="3079" max="3079" width="9.5703125" style="170" customWidth="1"/>
    <col min="3080" max="3080" width="9.7109375" style="170" customWidth="1"/>
    <col min="3081" max="3082" width="8.7109375" style="170" customWidth="1"/>
    <col min="3083" max="3329" width="11.5703125" style="170"/>
    <col min="3330" max="3330" width="19" style="170" customWidth="1"/>
    <col min="3331" max="3331" width="10.140625" style="170" customWidth="1"/>
    <col min="3332" max="3334" width="8.7109375" style="170" customWidth="1"/>
    <col min="3335" max="3335" width="9.5703125" style="170" customWidth="1"/>
    <col min="3336" max="3336" width="9.7109375" style="170" customWidth="1"/>
    <col min="3337" max="3338" width="8.7109375" style="170" customWidth="1"/>
    <col min="3339" max="3585" width="11.5703125" style="170"/>
    <col min="3586" max="3586" width="19" style="170" customWidth="1"/>
    <col min="3587" max="3587" width="10.140625" style="170" customWidth="1"/>
    <col min="3588" max="3590" width="8.7109375" style="170" customWidth="1"/>
    <col min="3591" max="3591" width="9.5703125" style="170" customWidth="1"/>
    <col min="3592" max="3592" width="9.7109375" style="170" customWidth="1"/>
    <col min="3593" max="3594" width="8.7109375" style="170" customWidth="1"/>
    <col min="3595" max="3841" width="11.5703125" style="170"/>
    <col min="3842" max="3842" width="19" style="170" customWidth="1"/>
    <col min="3843" max="3843" width="10.140625" style="170" customWidth="1"/>
    <col min="3844" max="3846" width="8.7109375" style="170" customWidth="1"/>
    <col min="3847" max="3847" width="9.5703125" style="170" customWidth="1"/>
    <col min="3848" max="3848" width="9.7109375" style="170" customWidth="1"/>
    <col min="3849" max="3850" width="8.7109375" style="170" customWidth="1"/>
    <col min="3851" max="4097" width="11.5703125" style="170"/>
    <col min="4098" max="4098" width="19" style="170" customWidth="1"/>
    <col min="4099" max="4099" width="10.140625" style="170" customWidth="1"/>
    <col min="4100" max="4102" width="8.7109375" style="170" customWidth="1"/>
    <col min="4103" max="4103" width="9.5703125" style="170" customWidth="1"/>
    <col min="4104" max="4104" width="9.7109375" style="170" customWidth="1"/>
    <col min="4105" max="4106" width="8.7109375" style="170" customWidth="1"/>
    <col min="4107" max="4353" width="11.5703125" style="170"/>
    <col min="4354" max="4354" width="19" style="170" customWidth="1"/>
    <col min="4355" max="4355" width="10.140625" style="170" customWidth="1"/>
    <col min="4356" max="4358" width="8.7109375" style="170" customWidth="1"/>
    <col min="4359" max="4359" width="9.5703125" style="170" customWidth="1"/>
    <col min="4360" max="4360" width="9.7109375" style="170" customWidth="1"/>
    <col min="4361" max="4362" width="8.7109375" style="170" customWidth="1"/>
    <col min="4363" max="4609" width="11.5703125" style="170"/>
    <col min="4610" max="4610" width="19" style="170" customWidth="1"/>
    <col min="4611" max="4611" width="10.140625" style="170" customWidth="1"/>
    <col min="4612" max="4614" width="8.7109375" style="170" customWidth="1"/>
    <col min="4615" max="4615" width="9.5703125" style="170" customWidth="1"/>
    <col min="4616" max="4616" width="9.7109375" style="170" customWidth="1"/>
    <col min="4617" max="4618" width="8.7109375" style="170" customWidth="1"/>
    <col min="4619" max="4865" width="11.5703125" style="170"/>
    <col min="4866" max="4866" width="19" style="170" customWidth="1"/>
    <col min="4867" max="4867" width="10.140625" style="170" customWidth="1"/>
    <col min="4868" max="4870" width="8.7109375" style="170" customWidth="1"/>
    <col min="4871" max="4871" width="9.5703125" style="170" customWidth="1"/>
    <col min="4872" max="4872" width="9.7109375" style="170" customWidth="1"/>
    <col min="4873" max="4874" width="8.7109375" style="170" customWidth="1"/>
    <col min="4875" max="5121" width="11.5703125" style="170"/>
    <col min="5122" max="5122" width="19" style="170" customWidth="1"/>
    <col min="5123" max="5123" width="10.140625" style="170" customWidth="1"/>
    <col min="5124" max="5126" width="8.7109375" style="170" customWidth="1"/>
    <col min="5127" max="5127" width="9.5703125" style="170" customWidth="1"/>
    <col min="5128" max="5128" width="9.7109375" style="170" customWidth="1"/>
    <col min="5129" max="5130" width="8.7109375" style="170" customWidth="1"/>
    <col min="5131" max="5377" width="11.5703125" style="170"/>
    <col min="5378" max="5378" width="19" style="170" customWidth="1"/>
    <col min="5379" max="5379" width="10.140625" style="170" customWidth="1"/>
    <col min="5380" max="5382" width="8.7109375" style="170" customWidth="1"/>
    <col min="5383" max="5383" width="9.5703125" style="170" customWidth="1"/>
    <col min="5384" max="5384" width="9.7109375" style="170" customWidth="1"/>
    <col min="5385" max="5386" width="8.7109375" style="170" customWidth="1"/>
    <col min="5387" max="5633" width="11.5703125" style="170"/>
    <col min="5634" max="5634" width="19" style="170" customWidth="1"/>
    <col min="5635" max="5635" width="10.140625" style="170" customWidth="1"/>
    <col min="5636" max="5638" width="8.7109375" style="170" customWidth="1"/>
    <col min="5639" max="5639" width="9.5703125" style="170" customWidth="1"/>
    <col min="5640" max="5640" width="9.7109375" style="170" customWidth="1"/>
    <col min="5641" max="5642" width="8.7109375" style="170" customWidth="1"/>
    <col min="5643" max="5889" width="11.5703125" style="170"/>
    <col min="5890" max="5890" width="19" style="170" customWidth="1"/>
    <col min="5891" max="5891" width="10.140625" style="170" customWidth="1"/>
    <col min="5892" max="5894" width="8.7109375" style="170" customWidth="1"/>
    <col min="5895" max="5895" width="9.5703125" style="170" customWidth="1"/>
    <col min="5896" max="5896" width="9.7109375" style="170" customWidth="1"/>
    <col min="5897" max="5898" width="8.7109375" style="170" customWidth="1"/>
    <col min="5899" max="6145" width="11.5703125" style="170"/>
    <col min="6146" max="6146" width="19" style="170" customWidth="1"/>
    <col min="6147" max="6147" width="10.140625" style="170" customWidth="1"/>
    <col min="6148" max="6150" width="8.7109375" style="170" customWidth="1"/>
    <col min="6151" max="6151" width="9.5703125" style="170" customWidth="1"/>
    <col min="6152" max="6152" width="9.7109375" style="170" customWidth="1"/>
    <col min="6153" max="6154" width="8.7109375" style="170" customWidth="1"/>
    <col min="6155" max="6401" width="11.5703125" style="170"/>
    <col min="6402" max="6402" width="19" style="170" customWidth="1"/>
    <col min="6403" max="6403" width="10.140625" style="170" customWidth="1"/>
    <col min="6404" max="6406" width="8.7109375" style="170" customWidth="1"/>
    <col min="6407" max="6407" width="9.5703125" style="170" customWidth="1"/>
    <col min="6408" max="6408" width="9.7109375" style="170" customWidth="1"/>
    <col min="6409" max="6410" width="8.7109375" style="170" customWidth="1"/>
    <col min="6411" max="6657" width="11.5703125" style="170"/>
    <col min="6658" max="6658" width="19" style="170" customWidth="1"/>
    <col min="6659" max="6659" width="10.140625" style="170" customWidth="1"/>
    <col min="6660" max="6662" width="8.7109375" style="170" customWidth="1"/>
    <col min="6663" max="6663" width="9.5703125" style="170" customWidth="1"/>
    <col min="6664" max="6664" width="9.7109375" style="170" customWidth="1"/>
    <col min="6665" max="6666" width="8.7109375" style="170" customWidth="1"/>
    <col min="6667" max="6913" width="11.5703125" style="170"/>
    <col min="6914" max="6914" width="19" style="170" customWidth="1"/>
    <col min="6915" max="6915" width="10.140625" style="170" customWidth="1"/>
    <col min="6916" max="6918" width="8.7109375" style="170" customWidth="1"/>
    <col min="6919" max="6919" width="9.5703125" style="170" customWidth="1"/>
    <col min="6920" max="6920" width="9.7109375" style="170" customWidth="1"/>
    <col min="6921" max="6922" width="8.7109375" style="170" customWidth="1"/>
    <col min="6923" max="7169" width="11.5703125" style="170"/>
    <col min="7170" max="7170" width="19" style="170" customWidth="1"/>
    <col min="7171" max="7171" width="10.140625" style="170" customWidth="1"/>
    <col min="7172" max="7174" width="8.7109375" style="170" customWidth="1"/>
    <col min="7175" max="7175" width="9.5703125" style="170" customWidth="1"/>
    <col min="7176" max="7176" width="9.7109375" style="170" customWidth="1"/>
    <col min="7177" max="7178" width="8.7109375" style="170" customWidth="1"/>
    <col min="7179" max="7425" width="11.5703125" style="170"/>
    <col min="7426" max="7426" width="19" style="170" customWidth="1"/>
    <col min="7427" max="7427" width="10.140625" style="170" customWidth="1"/>
    <col min="7428" max="7430" width="8.7109375" style="170" customWidth="1"/>
    <col min="7431" max="7431" width="9.5703125" style="170" customWidth="1"/>
    <col min="7432" max="7432" width="9.7109375" style="170" customWidth="1"/>
    <col min="7433" max="7434" width="8.7109375" style="170" customWidth="1"/>
    <col min="7435" max="7681" width="11.5703125" style="170"/>
    <col min="7682" max="7682" width="19" style="170" customWidth="1"/>
    <col min="7683" max="7683" width="10.140625" style="170" customWidth="1"/>
    <col min="7684" max="7686" width="8.7109375" style="170" customWidth="1"/>
    <col min="7687" max="7687" width="9.5703125" style="170" customWidth="1"/>
    <col min="7688" max="7688" width="9.7109375" style="170" customWidth="1"/>
    <col min="7689" max="7690" width="8.7109375" style="170" customWidth="1"/>
    <col min="7691" max="7937" width="11.5703125" style="170"/>
    <col min="7938" max="7938" width="19" style="170" customWidth="1"/>
    <col min="7939" max="7939" width="10.140625" style="170" customWidth="1"/>
    <col min="7940" max="7942" width="8.7109375" style="170" customWidth="1"/>
    <col min="7943" max="7943" width="9.5703125" style="170" customWidth="1"/>
    <col min="7944" max="7944" width="9.7109375" style="170" customWidth="1"/>
    <col min="7945" max="7946" width="8.7109375" style="170" customWidth="1"/>
    <col min="7947" max="8193" width="11.5703125" style="170"/>
    <col min="8194" max="8194" width="19" style="170" customWidth="1"/>
    <col min="8195" max="8195" width="10.140625" style="170" customWidth="1"/>
    <col min="8196" max="8198" width="8.7109375" style="170" customWidth="1"/>
    <col min="8199" max="8199" width="9.5703125" style="170" customWidth="1"/>
    <col min="8200" max="8200" width="9.7109375" style="170" customWidth="1"/>
    <col min="8201" max="8202" width="8.7109375" style="170" customWidth="1"/>
    <col min="8203" max="8449" width="11.5703125" style="170"/>
    <col min="8450" max="8450" width="19" style="170" customWidth="1"/>
    <col min="8451" max="8451" width="10.140625" style="170" customWidth="1"/>
    <col min="8452" max="8454" width="8.7109375" style="170" customWidth="1"/>
    <col min="8455" max="8455" width="9.5703125" style="170" customWidth="1"/>
    <col min="8456" max="8456" width="9.7109375" style="170" customWidth="1"/>
    <col min="8457" max="8458" width="8.7109375" style="170" customWidth="1"/>
    <col min="8459" max="8705" width="11.5703125" style="170"/>
    <col min="8706" max="8706" width="19" style="170" customWidth="1"/>
    <col min="8707" max="8707" width="10.140625" style="170" customWidth="1"/>
    <col min="8708" max="8710" width="8.7109375" style="170" customWidth="1"/>
    <col min="8711" max="8711" width="9.5703125" style="170" customWidth="1"/>
    <col min="8712" max="8712" width="9.7109375" style="170" customWidth="1"/>
    <col min="8713" max="8714" width="8.7109375" style="170" customWidth="1"/>
    <col min="8715" max="8961" width="11.5703125" style="170"/>
    <col min="8962" max="8962" width="19" style="170" customWidth="1"/>
    <col min="8963" max="8963" width="10.140625" style="170" customWidth="1"/>
    <col min="8964" max="8966" width="8.7109375" style="170" customWidth="1"/>
    <col min="8967" max="8967" width="9.5703125" style="170" customWidth="1"/>
    <col min="8968" max="8968" width="9.7109375" style="170" customWidth="1"/>
    <col min="8969" max="8970" width="8.7109375" style="170" customWidth="1"/>
    <col min="8971" max="9217" width="11.5703125" style="170"/>
    <col min="9218" max="9218" width="19" style="170" customWidth="1"/>
    <col min="9219" max="9219" width="10.140625" style="170" customWidth="1"/>
    <col min="9220" max="9222" width="8.7109375" style="170" customWidth="1"/>
    <col min="9223" max="9223" width="9.5703125" style="170" customWidth="1"/>
    <col min="9224" max="9224" width="9.7109375" style="170" customWidth="1"/>
    <col min="9225" max="9226" width="8.7109375" style="170" customWidth="1"/>
    <col min="9227" max="9473" width="11.5703125" style="170"/>
    <col min="9474" max="9474" width="19" style="170" customWidth="1"/>
    <col min="9475" max="9475" width="10.140625" style="170" customWidth="1"/>
    <col min="9476" max="9478" width="8.7109375" style="170" customWidth="1"/>
    <col min="9479" max="9479" width="9.5703125" style="170" customWidth="1"/>
    <col min="9480" max="9480" width="9.7109375" style="170" customWidth="1"/>
    <col min="9481" max="9482" width="8.7109375" style="170" customWidth="1"/>
    <col min="9483" max="9729" width="11.5703125" style="170"/>
    <col min="9730" max="9730" width="19" style="170" customWidth="1"/>
    <col min="9731" max="9731" width="10.140625" style="170" customWidth="1"/>
    <col min="9732" max="9734" width="8.7109375" style="170" customWidth="1"/>
    <col min="9735" max="9735" width="9.5703125" style="170" customWidth="1"/>
    <col min="9736" max="9736" width="9.7109375" style="170" customWidth="1"/>
    <col min="9737" max="9738" width="8.7109375" style="170" customWidth="1"/>
    <col min="9739" max="9985" width="11.5703125" style="170"/>
    <col min="9986" max="9986" width="19" style="170" customWidth="1"/>
    <col min="9987" max="9987" width="10.140625" style="170" customWidth="1"/>
    <col min="9988" max="9990" width="8.7109375" style="170" customWidth="1"/>
    <col min="9991" max="9991" width="9.5703125" style="170" customWidth="1"/>
    <col min="9992" max="9992" width="9.7109375" style="170" customWidth="1"/>
    <col min="9993" max="9994" width="8.7109375" style="170" customWidth="1"/>
    <col min="9995" max="10241" width="11.5703125" style="170"/>
    <col min="10242" max="10242" width="19" style="170" customWidth="1"/>
    <col min="10243" max="10243" width="10.140625" style="170" customWidth="1"/>
    <col min="10244" max="10246" width="8.7109375" style="170" customWidth="1"/>
    <col min="10247" max="10247" width="9.5703125" style="170" customWidth="1"/>
    <col min="10248" max="10248" width="9.7109375" style="170" customWidth="1"/>
    <col min="10249" max="10250" width="8.7109375" style="170" customWidth="1"/>
    <col min="10251" max="10497" width="11.5703125" style="170"/>
    <col min="10498" max="10498" width="19" style="170" customWidth="1"/>
    <col min="10499" max="10499" width="10.140625" style="170" customWidth="1"/>
    <col min="10500" max="10502" width="8.7109375" style="170" customWidth="1"/>
    <col min="10503" max="10503" width="9.5703125" style="170" customWidth="1"/>
    <col min="10504" max="10504" width="9.7109375" style="170" customWidth="1"/>
    <col min="10505" max="10506" width="8.7109375" style="170" customWidth="1"/>
    <col min="10507" max="10753" width="11.5703125" style="170"/>
    <col min="10754" max="10754" width="19" style="170" customWidth="1"/>
    <col min="10755" max="10755" width="10.140625" style="170" customWidth="1"/>
    <col min="10756" max="10758" width="8.7109375" style="170" customWidth="1"/>
    <col min="10759" max="10759" width="9.5703125" style="170" customWidth="1"/>
    <col min="10760" max="10760" width="9.7109375" style="170" customWidth="1"/>
    <col min="10761" max="10762" width="8.7109375" style="170" customWidth="1"/>
    <col min="10763" max="11009" width="11.5703125" style="170"/>
    <col min="11010" max="11010" width="19" style="170" customWidth="1"/>
    <col min="11011" max="11011" width="10.140625" style="170" customWidth="1"/>
    <col min="11012" max="11014" width="8.7109375" style="170" customWidth="1"/>
    <col min="11015" max="11015" width="9.5703125" style="170" customWidth="1"/>
    <col min="11016" max="11016" width="9.7109375" style="170" customWidth="1"/>
    <col min="11017" max="11018" width="8.7109375" style="170" customWidth="1"/>
    <col min="11019" max="11265" width="11.5703125" style="170"/>
    <col min="11266" max="11266" width="19" style="170" customWidth="1"/>
    <col min="11267" max="11267" width="10.140625" style="170" customWidth="1"/>
    <col min="11268" max="11270" width="8.7109375" style="170" customWidth="1"/>
    <col min="11271" max="11271" width="9.5703125" style="170" customWidth="1"/>
    <col min="11272" max="11272" width="9.7109375" style="170" customWidth="1"/>
    <col min="11273" max="11274" width="8.7109375" style="170" customWidth="1"/>
    <col min="11275" max="11521" width="11.5703125" style="170"/>
    <col min="11522" max="11522" width="19" style="170" customWidth="1"/>
    <col min="11523" max="11523" width="10.140625" style="170" customWidth="1"/>
    <col min="11524" max="11526" width="8.7109375" style="170" customWidth="1"/>
    <col min="11527" max="11527" width="9.5703125" style="170" customWidth="1"/>
    <col min="11528" max="11528" width="9.7109375" style="170" customWidth="1"/>
    <col min="11529" max="11530" width="8.7109375" style="170" customWidth="1"/>
    <col min="11531" max="11777" width="11.5703125" style="170"/>
    <col min="11778" max="11778" width="19" style="170" customWidth="1"/>
    <col min="11779" max="11779" width="10.140625" style="170" customWidth="1"/>
    <col min="11780" max="11782" width="8.7109375" style="170" customWidth="1"/>
    <col min="11783" max="11783" width="9.5703125" style="170" customWidth="1"/>
    <col min="11784" max="11784" width="9.7109375" style="170" customWidth="1"/>
    <col min="11785" max="11786" width="8.7109375" style="170" customWidth="1"/>
    <col min="11787" max="12033" width="11.5703125" style="170"/>
    <col min="12034" max="12034" width="19" style="170" customWidth="1"/>
    <col min="12035" max="12035" width="10.140625" style="170" customWidth="1"/>
    <col min="12036" max="12038" width="8.7109375" style="170" customWidth="1"/>
    <col min="12039" max="12039" width="9.5703125" style="170" customWidth="1"/>
    <col min="12040" max="12040" width="9.7109375" style="170" customWidth="1"/>
    <col min="12041" max="12042" width="8.7109375" style="170" customWidth="1"/>
    <col min="12043" max="12289" width="11.5703125" style="170"/>
    <col min="12290" max="12290" width="19" style="170" customWidth="1"/>
    <col min="12291" max="12291" width="10.140625" style="170" customWidth="1"/>
    <col min="12292" max="12294" width="8.7109375" style="170" customWidth="1"/>
    <col min="12295" max="12295" width="9.5703125" style="170" customWidth="1"/>
    <col min="12296" max="12296" width="9.7109375" style="170" customWidth="1"/>
    <col min="12297" max="12298" width="8.7109375" style="170" customWidth="1"/>
    <col min="12299" max="12545" width="11.5703125" style="170"/>
    <col min="12546" max="12546" width="19" style="170" customWidth="1"/>
    <col min="12547" max="12547" width="10.140625" style="170" customWidth="1"/>
    <col min="12548" max="12550" width="8.7109375" style="170" customWidth="1"/>
    <col min="12551" max="12551" width="9.5703125" style="170" customWidth="1"/>
    <col min="12552" max="12552" width="9.7109375" style="170" customWidth="1"/>
    <col min="12553" max="12554" width="8.7109375" style="170" customWidth="1"/>
    <col min="12555" max="12801" width="11.5703125" style="170"/>
    <col min="12802" max="12802" width="19" style="170" customWidth="1"/>
    <col min="12803" max="12803" width="10.140625" style="170" customWidth="1"/>
    <col min="12804" max="12806" width="8.7109375" style="170" customWidth="1"/>
    <col min="12807" max="12807" width="9.5703125" style="170" customWidth="1"/>
    <col min="12808" max="12808" width="9.7109375" style="170" customWidth="1"/>
    <col min="12809" max="12810" width="8.7109375" style="170" customWidth="1"/>
    <col min="12811" max="13057" width="11.5703125" style="170"/>
    <col min="13058" max="13058" width="19" style="170" customWidth="1"/>
    <col min="13059" max="13059" width="10.140625" style="170" customWidth="1"/>
    <col min="13060" max="13062" width="8.7109375" style="170" customWidth="1"/>
    <col min="13063" max="13063" width="9.5703125" style="170" customWidth="1"/>
    <col min="13064" max="13064" width="9.7109375" style="170" customWidth="1"/>
    <col min="13065" max="13066" width="8.7109375" style="170" customWidth="1"/>
    <col min="13067" max="13313" width="11.5703125" style="170"/>
    <col min="13314" max="13314" width="19" style="170" customWidth="1"/>
    <col min="13315" max="13315" width="10.140625" style="170" customWidth="1"/>
    <col min="13316" max="13318" width="8.7109375" style="170" customWidth="1"/>
    <col min="13319" max="13319" width="9.5703125" style="170" customWidth="1"/>
    <col min="13320" max="13320" width="9.7109375" style="170" customWidth="1"/>
    <col min="13321" max="13322" width="8.7109375" style="170" customWidth="1"/>
    <col min="13323" max="13569" width="11.5703125" style="170"/>
    <col min="13570" max="13570" width="19" style="170" customWidth="1"/>
    <col min="13571" max="13571" width="10.140625" style="170" customWidth="1"/>
    <col min="13572" max="13574" width="8.7109375" style="170" customWidth="1"/>
    <col min="13575" max="13575" width="9.5703125" style="170" customWidth="1"/>
    <col min="13576" max="13576" width="9.7109375" style="170" customWidth="1"/>
    <col min="13577" max="13578" width="8.7109375" style="170" customWidth="1"/>
    <col min="13579" max="13825" width="11.5703125" style="170"/>
    <col min="13826" max="13826" width="19" style="170" customWidth="1"/>
    <col min="13827" max="13827" width="10.140625" style="170" customWidth="1"/>
    <col min="13828" max="13830" width="8.7109375" style="170" customWidth="1"/>
    <col min="13831" max="13831" width="9.5703125" style="170" customWidth="1"/>
    <col min="13832" max="13832" width="9.7109375" style="170" customWidth="1"/>
    <col min="13833" max="13834" width="8.7109375" style="170" customWidth="1"/>
    <col min="13835" max="14081" width="11.5703125" style="170"/>
    <col min="14082" max="14082" width="19" style="170" customWidth="1"/>
    <col min="14083" max="14083" width="10.140625" style="170" customWidth="1"/>
    <col min="14084" max="14086" width="8.7109375" style="170" customWidth="1"/>
    <col min="14087" max="14087" width="9.5703125" style="170" customWidth="1"/>
    <col min="14088" max="14088" width="9.7109375" style="170" customWidth="1"/>
    <col min="14089" max="14090" width="8.7109375" style="170" customWidth="1"/>
    <col min="14091" max="14337" width="11.5703125" style="170"/>
    <col min="14338" max="14338" width="19" style="170" customWidth="1"/>
    <col min="14339" max="14339" width="10.140625" style="170" customWidth="1"/>
    <col min="14340" max="14342" width="8.7109375" style="170" customWidth="1"/>
    <col min="14343" max="14343" width="9.5703125" style="170" customWidth="1"/>
    <col min="14344" max="14344" width="9.7109375" style="170" customWidth="1"/>
    <col min="14345" max="14346" width="8.7109375" style="170" customWidth="1"/>
    <col min="14347" max="14593" width="11.5703125" style="170"/>
    <col min="14594" max="14594" width="19" style="170" customWidth="1"/>
    <col min="14595" max="14595" width="10.140625" style="170" customWidth="1"/>
    <col min="14596" max="14598" width="8.7109375" style="170" customWidth="1"/>
    <col min="14599" max="14599" width="9.5703125" style="170" customWidth="1"/>
    <col min="14600" max="14600" width="9.7109375" style="170" customWidth="1"/>
    <col min="14601" max="14602" width="8.7109375" style="170" customWidth="1"/>
    <col min="14603" max="14849" width="11.5703125" style="170"/>
    <col min="14850" max="14850" width="19" style="170" customWidth="1"/>
    <col min="14851" max="14851" width="10.140625" style="170" customWidth="1"/>
    <col min="14852" max="14854" width="8.7109375" style="170" customWidth="1"/>
    <col min="14855" max="14855" width="9.5703125" style="170" customWidth="1"/>
    <col min="14856" max="14856" width="9.7109375" style="170" customWidth="1"/>
    <col min="14857" max="14858" width="8.7109375" style="170" customWidth="1"/>
    <col min="14859" max="15105" width="11.5703125" style="170"/>
    <col min="15106" max="15106" width="19" style="170" customWidth="1"/>
    <col min="15107" max="15107" width="10.140625" style="170" customWidth="1"/>
    <col min="15108" max="15110" width="8.7109375" style="170" customWidth="1"/>
    <col min="15111" max="15111" width="9.5703125" style="170" customWidth="1"/>
    <col min="15112" max="15112" width="9.7109375" style="170" customWidth="1"/>
    <col min="15113" max="15114" width="8.7109375" style="170" customWidth="1"/>
    <col min="15115" max="15361" width="11.5703125" style="170"/>
    <col min="15362" max="15362" width="19" style="170" customWidth="1"/>
    <col min="15363" max="15363" width="10.140625" style="170" customWidth="1"/>
    <col min="15364" max="15366" width="8.7109375" style="170" customWidth="1"/>
    <col min="15367" max="15367" width="9.5703125" style="170" customWidth="1"/>
    <col min="15368" max="15368" width="9.7109375" style="170" customWidth="1"/>
    <col min="15369" max="15370" width="8.7109375" style="170" customWidth="1"/>
    <col min="15371" max="15617" width="11.5703125" style="170"/>
    <col min="15618" max="15618" width="19" style="170" customWidth="1"/>
    <col min="15619" max="15619" width="10.140625" style="170" customWidth="1"/>
    <col min="15620" max="15622" width="8.7109375" style="170" customWidth="1"/>
    <col min="15623" max="15623" width="9.5703125" style="170" customWidth="1"/>
    <col min="15624" max="15624" width="9.7109375" style="170" customWidth="1"/>
    <col min="15625" max="15626" width="8.7109375" style="170" customWidth="1"/>
    <col min="15627" max="15873" width="11.5703125" style="170"/>
    <col min="15874" max="15874" width="19" style="170" customWidth="1"/>
    <col min="15875" max="15875" width="10.140625" style="170" customWidth="1"/>
    <col min="15876" max="15878" width="8.7109375" style="170" customWidth="1"/>
    <col min="15879" max="15879" width="9.5703125" style="170" customWidth="1"/>
    <col min="15880" max="15880" width="9.7109375" style="170" customWidth="1"/>
    <col min="15881" max="15882" width="8.7109375" style="170" customWidth="1"/>
    <col min="15883" max="16129" width="11.5703125" style="170"/>
    <col min="16130" max="16130" width="19" style="170" customWidth="1"/>
    <col min="16131" max="16131" width="10.140625" style="170" customWidth="1"/>
    <col min="16132" max="16134" width="8.7109375" style="170" customWidth="1"/>
    <col min="16135" max="16135" width="9.5703125" style="170" customWidth="1"/>
    <col min="16136" max="16136" width="9.7109375" style="170" customWidth="1"/>
    <col min="16137" max="16138" width="8.7109375" style="170" customWidth="1"/>
    <col min="16139" max="16384" width="11.5703125" style="170"/>
  </cols>
  <sheetData>
    <row r="1" spans="1:29" ht="12.75" customHeight="1">
      <c r="A1" s="169" t="s">
        <v>164</v>
      </c>
    </row>
    <row r="2" spans="1:29" ht="12.75" customHeight="1">
      <c r="A2" s="169" t="s">
        <v>165</v>
      </c>
    </row>
    <row r="3" spans="1:29" ht="9.6" customHeight="1" thickBot="1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r="4" spans="1:29" ht="15" customHeight="1">
      <c r="A4" s="235"/>
      <c r="B4" s="238" t="s">
        <v>166</v>
      </c>
      <c r="C4" s="241" t="s">
        <v>143</v>
      </c>
      <c r="D4" s="244" t="s">
        <v>144</v>
      </c>
      <c r="E4" s="244"/>
      <c r="F4" s="244"/>
      <c r="G4" s="244"/>
      <c r="H4" s="244"/>
      <c r="I4" s="244"/>
      <c r="J4" s="244"/>
    </row>
    <row r="5" spans="1:29" s="172" customFormat="1" ht="15" customHeight="1">
      <c r="A5" s="236"/>
      <c r="B5" s="239"/>
      <c r="C5" s="242"/>
      <c r="D5" s="245" t="s">
        <v>0</v>
      </c>
      <c r="E5" s="247" t="s">
        <v>145</v>
      </c>
      <c r="F5" s="248"/>
      <c r="G5" s="248"/>
      <c r="H5" s="248"/>
      <c r="I5" s="249"/>
      <c r="J5" s="250" t="s">
        <v>118</v>
      </c>
    </row>
    <row r="6" spans="1:29" s="172" customFormat="1" ht="36" customHeight="1">
      <c r="A6" s="237"/>
      <c r="B6" s="240"/>
      <c r="C6" s="243"/>
      <c r="D6" s="246"/>
      <c r="E6" s="173" t="s">
        <v>5</v>
      </c>
      <c r="F6" s="173" t="s">
        <v>146</v>
      </c>
      <c r="G6" s="173" t="s">
        <v>147</v>
      </c>
      <c r="H6" s="173" t="s">
        <v>148</v>
      </c>
      <c r="I6" s="173" t="s">
        <v>149</v>
      </c>
      <c r="J6" s="251"/>
    </row>
    <row r="7" spans="1:29" ht="12" customHeight="1">
      <c r="A7" s="174" t="s">
        <v>150</v>
      </c>
      <c r="B7" s="175">
        <v>1925463</v>
      </c>
      <c r="C7" s="176">
        <v>100</v>
      </c>
      <c r="D7" s="177">
        <v>100</v>
      </c>
      <c r="E7" s="178">
        <v>94.109364864450782</v>
      </c>
      <c r="F7" s="178">
        <v>28.023026150074031</v>
      </c>
      <c r="G7" s="178">
        <v>21.036083269322756</v>
      </c>
      <c r="H7" s="178">
        <v>43.467467305266318</v>
      </c>
      <c r="I7" s="178">
        <v>1.5827881397876771</v>
      </c>
      <c r="J7" s="179">
        <v>5.8906351355492159</v>
      </c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</row>
    <row r="8" spans="1:29" ht="12" customHeight="1">
      <c r="A8" s="181" t="s">
        <v>9</v>
      </c>
      <c r="B8" s="182">
        <v>48760</v>
      </c>
      <c r="C8" s="183">
        <v>2.5323779267635889</v>
      </c>
      <c r="D8" s="184">
        <v>100</v>
      </c>
      <c r="E8" s="185">
        <v>91.089007383100906</v>
      </c>
      <c r="F8" s="185">
        <v>33.470057424118124</v>
      </c>
      <c r="G8" s="185">
        <v>17.64766201804758</v>
      </c>
      <c r="H8" s="185">
        <v>38.898687448728467</v>
      </c>
      <c r="I8" s="185">
        <v>1.0726004922067269</v>
      </c>
      <c r="J8" s="186">
        <v>8.9109926168990974</v>
      </c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</row>
    <row r="9" spans="1:29" ht="12" customHeight="1">
      <c r="A9" s="180" t="s">
        <v>23</v>
      </c>
      <c r="B9" s="182">
        <v>74510</v>
      </c>
      <c r="C9" s="183">
        <v>3.8697186079400128</v>
      </c>
      <c r="D9" s="184">
        <v>99.998657898268689</v>
      </c>
      <c r="E9" s="185">
        <v>97.663400885787141</v>
      </c>
      <c r="F9" s="185">
        <v>9.4886592403704206</v>
      </c>
      <c r="G9" s="185">
        <v>30.187894242383571</v>
      </c>
      <c r="H9" s="185">
        <v>57.699637632532543</v>
      </c>
      <c r="I9" s="185">
        <v>0.28720977050060392</v>
      </c>
      <c r="J9" s="186">
        <v>2.3352570124815459</v>
      </c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</row>
    <row r="10" spans="1:29" ht="12" customHeight="1">
      <c r="A10" s="181" t="s">
        <v>57</v>
      </c>
      <c r="B10" s="182">
        <v>2959</v>
      </c>
      <c r="C10" s="183">
        <v>0.15367732332431211</v>
      </c>
      <c r="D10" s="184">
        <v>99.96620479891854</v>
      </c>
      <c r="E10" s="185">
        <v>84.656978709023306</v>
      </c>
      <c r="F10" s="185">
        <v>45.522135856708346</v>
      </c>
      <c r="G10" s="185">
        <v>11.524163568773234</v>
      </c>
      <c r="H10" s="185">
        <v>27.407908077053055</v>
      </c>
      <c r="I10" s="185">
        <v>0.20277120648867861</v>
      </c>
      <c r="J10" s="186">
        <v>15.309226089895233</v>
      </c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</row>
    <row r="11" spans="1:29" ht="12" customHeight="1">
      <c r="A11" s="181" t="s">
        <v>36</v>
      </c>
      <c r="B11" s="182">
        <v>3673</v>
      </c>
      <c r="C11" s="183">
        <v>0.19075931347421374</v>
      </c>
      <c r="D11" s="184">
        <v>100</v>
      </c>
      <c r="E11" s="185">
        <v>98.502586441600869</v>
      </c>
      <c r="F11" s="185">
        <v>57.636809147835557</v>
      </c>
      <c r="G11" s="185">
        <v>16.716580451946641</v>
      </c>
      <c r="H11" s="185">
        <v>24.013068336509665</v>
      </c>
      <c r="I11" s="185">
        <v>0.13612850530901169</v>
      </c>
      <c r="J11" s="186">
        <v>1.4974135583991288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</row>
    <row r="12" spans="1:29" ht="12" customHeight="1">
      <c r="A12" s="181" t="s">
        <v>10</v>
      </c>
      <c r="B12" s="182">
        <v>4878</v>
      </c>
      <c r="C12" s="183">
        <v>0.25334166379722695</v>
      </c>
      <c r="D12" s="184">
        <v>100</v>
      </c>
      <c r="E12" s="185">
        <v>80.258302583025838</v>
      </c>
      <c r="F12" s="185">
        <v>26.711767117671176</v>
      </c>
      <c r="G12" s="185">
        <v>21.504715047150473</v>
      </c>
      <c r="H12" s="185">
        <v>31.775317753177536</v>
      </c>
      <c r="I12" s="185">
        <v>0.26650266502665027</v>
      </c>
      <c r="J12" s="186">
        <v>19.741697416974169</v>
      </c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</row>
    <row r="13" spans="1:29" ht="12" customHeight="1">
      <c r="A13" s="180" t="s">
        <v>24</v>
      </c>
      <c r="B13" s="182">
        <v>11708</v>
      </c>
      <c r="C13" s="183">
        <v>0.6080615415616919</v>
      </c>
      <c r="D13" s="184">
        <v>100</v>
      </c>
      <c r="E13" s="185">
        <v>98.659036556200888</v>
      </c>
      <c r="F13" s="185">
        <v>20.78066279467031</v>
      </c>
      <c r="G13" s="185">
        <v>7.2599931670652538</v>
      </c>
      <c r="H13" s="185">
        <v>70.439016057396657</v>
      </c>
      <c r="I13" s="185">
        <v>0.179364537068671</v>
      </c>
      <c r="J13" s="186">
        <v>1.3409634437991118</v>
      </c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</row>
    <row r="14" spans="1:29" ht="12" customHeight="1">
      <c r="A14" s="180" t="s">
        <v>25</v>
      </c>
      <c r="B14" s="182">
        <v>72926</v>
      </c>
      <c r="C14" s="183">
        <v>3.7874526802124997</v>
      </c>
      <c r="D14" s="184">
        <v>99.998628746948967</v>
      </c>
      <c r="E14" s="185">
        <v>92.917477991388537</v>
      </c>
      <c r="F14" s="185">
        <v>28.820996626717495</v>
      </c>
      <c r="G14" s="185">
        <v>20.470065545895842</v>
      </c>
      <c r="H14" s="185">
        <v>43.223267421770011</v>
      </c>
      <c r="I14" s="185">
        <v>0.4031483970051834</v>
      </c>
      <c r="J14" s="186">
        <v>7.0811507555604312</v>
      </c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</row>
    <row r="15" spans="1:29" ht="12" customHeight="1">
      <c r="A15" s="180" t="s">
        <v>26</v>
      </c>
      <c r="B15" s="182">
        <v>0</v>
      </c>
      <c r="C15" s="183">
        <v>0</v>
      </c>
      <c r="D15" s="184" t="s">
        <v>167</v>
      </c>
      <c r="E15" s="185" t="s">
        <v>167</v>
      </c>
      <c r="F15" s="185" t="s">
        <v>167</v>
      </c>
      <c r="G15" s="185" t="s">
        <v>167</v>
      </c>
      <c r="H15" s="185" t="s">
        <v>167</v>
      </c>
      <c r="I15" s="185" t="s">
        <v>167</v>
      </c>
      <c r="J15" s="186" t="s">
        <v>167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</row>
    <row r="16" spans="1:29" ht="12" customHeight="1">
      <c r="A16" s="180" t="s">
        <v>11</v>
      </c>
      <c r="B16" s="182">
        <v>510753</v>
      </c>
      <c r="C16" s="183">
        <v>26.52624329836512</v>
      </c>
      <c r="D16" s="184">
        <v>99.999804210645848</v>
      </c>
      <c r="E16" s="185">
        <v>95.999631916014195</v>
      </c>
      <c r="F16" s="185">
        <v>25.974003089556007</v>
      </c>
      <c r="G16" s="185">
        <v>21.113728162144913</v>
      </c>
      <c r="H16" s="185">
        <v>48.64758503621124</v>
      </c>
      <c r="I16" s="185">
        <v>0.26431562810203757</v>
      </c>
      <c r="J16" s="186">
        <v>4.0001722946316516</v>
      </c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</row>
    <row r="17" spans="1:29" ht="12" customHeight="1">
      <c r="A17" s="187" t="s">
        <v>151</v>
      </c>
      <c r="B17" s="182">
        <v>137534</v>
      </c>
      <c r="C17" s="183">
        <v>7.1429053687346897</v>
      </c>
      <c r="D17" s="184">
        <v>100.00000000000001</v>
      </c>
      <c r="E17" s="185">
        <v>94.011662570709802</v>
      </c>
      <c r="F17" s="185">
        <v>37.725944130178718</v>
      </c>
      <c r="G17" s="185">
        <v>19.025113790044642</v>
      </c>
      <c r="H17" s="185">
        <v>37.13990722294124</v>
      </c>
      <c r="I17" s="185">
        <v>0.12069742754518883</v>
      </c>
      <c r="J17" s="186">
        <v>5.9883374292902118</v>
      </c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</row>
    <row r="18" spans="1:29" ht="12" customHeight="1">
      <c r="A18" s="180" t="s">
        <v>27</v>
      </c>
      <c r="B18" s="182">
        <v>1086</v>
      </c>
      <c r="C18" s="183">
        <v>5.6402018631362946E-2</v>
      </c>
      <c r="D18" s="184">
        <v>100</v>
      </c>
      <c r="E18" s="185">
        <v>100</v>
      </c>
      <c r="F18" s="185">
        <v>59.852670349907925</v>
      </c>
      <c r="G18" s="185">
        <v>20.534069981583794</v>
      </c>
      <c r="H18" s="185">
        <v>19.613259668508288</v>
      </c>
      <c r="I18" s="185">
        <v>9.2081031307550645E-2</v>
      </c>
      <c r="J18" s="186" t="s">
        <v>167</v>
      </c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</row>
    <row r="19" spans="1:29" ht="12" customHeight="1">
      <c r="A19" s="180" t="s">
        <v>12</v>
      </c>
      <c r="B19" s="182">
        <v>7842</v>
      </c>
      <c r="C19" s="183">
        <v>0.40727866492370923</v>
      </c>
      <c r="D19" s="184">
        <v>100.0127518490181</v>
      </c>
      <c r="E19" s="185">
        <v>99.260392756949756</v>
      </c>
      <c r="F19" s="185">
        <v>37.656210150471821</v>
      </c>
      <c r="G19" s="185">
        <v>17.470033154807446</v>
      </c>
      <c r="H19" s="185">
        <v>43.726090283091047</v>
      </c>
      <c r="I19" s="185">
        <v>0.40805916857944402</v>
      </c>
      <c r="J19" s="186">
        <v>0.75235909206834994</v>
      </c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</row>
    <row r="20" spans="1:29" ht="12" customHeight="1">
      <c r="A20" s="181" t="s">
        <v>52</v>
      </c>
      <c r="B20" s="182">
        <v>642070</v>
      </c>
      <c r="C20" s="183">
        <v>33.346265287881408</v>
      </c>
      <c r="D20" s="184">
        <v>100.00000000000001</v>
      </c>
      <c r="E20" s="185">
        <v>92.935193981964602</v>
      </c>
      <c r="F20" s="185">
        <v>28.22122198514181</v>
      </c>
      <c r="G20" s="185">
        <v>17.636083293098885</v>
      </c>
      <c r="H20" s="185">
        <v>42.906225177940101</v>
      </c>
      <c r="I20" s="185">
        <v>4.1716635257837931</v>
      </c>
      <c r="J20" s="186">
        <v>7.0648060180354157</v>
      </c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</row>
    <row r="21" spans="1:29" ht="12" customHeight="1">
      <c r="A21" s="181" t="s">
        <v>53</v>
      </c>
      <c r="B21" s="182">
        <v>48609</v>
      </c>
      <c r="C21" s="183">
        <v>2.5245356571380495</v>
      </c>
      <c r="D21" s="184">
        <v>99.997942767800197</v>
      </c>
      <c r="E21" s="185">
        <v>85.303133164640286</v>
      </c>
      <c r="F21" s="185">
        <v>38.239832129852495</v>
      </c>
      <c r="G21" s="185">
        <v>15.16591577691374</v>
      </c>
      <c r="H21" s="185">
        <v>31.615544446501676</v>
      </c>
      <c r="I21" s="185">
        <v>0.2818408113723796</v>
      </c>
      <c r="J21" s="186">
        <v>14.694809603159909</v>
      </c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</row>
    <row r="22" spans="1:29" ht="12" customHeight="1">
      <c r="A22" s="181" t="s">
        <v>13</v>
      </c>
      <c r="B22" s="182">
        <v>194538</v>
      </c>
      <c r="C22" s="183">
        <v>10.103440055716469</v>
      </c>
      <c r="D22" s="184">
        <v>100</v>
      </c>
      <c r="E22" s="185">
        <v>93.148896359580135</v>
      </c>
      <c r="F22" s="185">
        <v>25.84276593776023</v>
      </c>
      <c r="G22" s="185">
        <v>27.048185958527384</v>
      </c>
      <c r="H22" s="185">
        <v>40.224531968047373</v>
      </c>
      <c r="I22" s="185">
        <v>3.3412495245144905E-2</v>
      </c>
      <c r="J22" s="186">
        <v>6.8511036404198675</v>
      </c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</row>
    <row r="23" spans="1:29" ht="12" customHeight="1">
      <c r="A23" s="181" t="s">
        <v>14</v>
      </c>
      <c r="B23" s="182">
        <v>115709</v>
      </c>
      <c r="C23" s="183">
        <v>6.0094117622618555</v>
      </c>
      <c r="D23" s="184">
        <v>100</v>
      </c>
      <c r="E23" s="185">
        <v>95.113603954748555</v>
      </c>
      <c r="F23" s="185">
        <v>36.373142970728296</v>
      </c>
      <c r="G23" s="185">
        <v>24.390496849856106</v>
      </c>
      <c r="H23" s="185">
        <v>34.113163193874293</v>
      </c>
      <c r="I23" s="185">
        <v>0.23680094028986509</v>
      </c>
      <c r="J23" s="186">
        <v>4.8863960452514492</v>
      </c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</row>
    <row r="24" spans="1:29" ht="12" customHeight="1">
      <c r="A24" s="181" t="s">
        <v>28</v>
      </c>
      <c r="B24" s="182">
        <v>47908</v>
      </c>
      <c r="C24" s="183">
        <v>2.4881288292737902</v>
      </c>
      <c r="D24" s="184">
        <v>100</v>
      </c>
      <c r="E24" s="185">
        <v>99.3070050930951</v>
      </c>
      <c r="F24" s="185">
        <v>15.99524087835017</v>
      </c>
      <c r="G24" s="185">
        <v>39.899390498455375</v>
      </c>
      <c r="H24" s="185">
        <v>42.180846622693494</v>
      </c>
      <c r="I24" s="185">
        <v>1.2315270935960592</v>
      </c>
      <c r="J24" s="186">
        <v>0.69299490690490106</v>
      </c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</row>
    <row r="25" spans="1:29" ht="12" customHeight="1">
      <c r="A25" s="181" t="s">
        <v>152</v>
      </c>
      <c r="B25" s="182">
        <v>0</v>
      </c>
      <c r="C25" s="183">
        <v>0</v>
      </c>
      <c r="D25" s="184" t="s">
        <v>167</v>
      </c>
      <c r="E25" s="185" t="s">
        <v>167</v>
      </c>
      <c r="F25" s="185" t="s">
        <v>167</v>
      </c>
      <c r="G25" s="185" t="s">
        <v>167</v>
      </c>
      <c r="H25" s="185" t="s">
        <v>167</v>
      </c>
      <c r="I25" s="185" t="s">
        <v>167</v>
      </c>
      <c r="J25" s="186" t="s">
        <v>167</v>
      </c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</row>
    <row r="26" spans="1:29" ht="12" customHeight="1">
      <c r="A26" s="181" t="s">
        <v>153</v>
      </c>
      <c r="B26" s="182">
        <v>0</v>
      </c>
      <c r="C26" s="183">
        <v>0</v>
      </c>
      <c r="D26" s="184" t="s">
        <v>167</v>
      </c>
      <c r="E26" s="185" t="s">
        <v>167</v>
      </c>
      <c r="F26" s="185" t="s">
        <v>167</v>
      </c>
      <c r="G26" s="185" t="s">
        <v>167</v>
      </c>
      <c r="H26" s="185" t="s">
        <v>167</v>
      </c>
      <c r="I26" s="185" t="s">
        <v>167</v>
      </c>
      <c r="J26" s="186" t="s">
        <v>167</v>
      </c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</row>
    <row r="27" spans="1:29" ht="12" customHeight="1">
      <c r="A27" s="180"/>
      <c r="B27" s="194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</row>
    <row r="28" spans="1:29" ht="12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</row>
    <row r="29" spans="1:29" ht="12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</row>
    <row r="30" spans="1:29" ht="12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</row>
    <row r="31" spans="1:29" ht="12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</row>
    <row r="32" spans="1:29" ht="12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</row>
    <row r="33" spans="1:29" ht="12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</row>
    <row r="34" spans="1:29" ht="12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</row>
    <row r="35" spans="1:29" ht="12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</row>
    <row r="36" spans="1:29" ht="12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</row>
    <row r="37" spans="1:29" ht="12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</row>
    <row r="38" spans="1:29" ht="12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</row>
    <row r="39" spans="1:29" ht="12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</row>
    <row r="40" spans="1:29" ht="12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</row>
  </sheetData>
  <mergeCells count="7">
    <mergeCell ref="A4:A6"/>
    <mergeCell ref="B4:B6"/>
    <mergeCell ref="C4:C6"/>
    <mergeCell ref="D4:J4"/>
    <mergeCell ref="D5:D6"/>
    <mergeCell ref="E5:I5"/>
    <mergeCell ref="J5:J6"/>
  </mergeCells>
  <pageMargins left="0.59055118110236227" right="0.59055118110236227" top="0.9055118110236221" bottom="0.39370078740157483" header="0.51181102362204722" footer="0.59055118110236227"/>
  <pageSetup paperSize="9" orientation="portrait" horizontalDpi="1200" verticalDpi="1200" r:id="rId1"/>
  <headerFooter alignWithMargins="0">
    <oddHeader xml:space="preserve">&amp;L&amp;"Arial,Negrita"B4. EL GASTO EN EDUCACIÓN&amp;R&amp;"Arial,Negrita"&amp;7AÑO 2010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zoomScaleNormal="100" workbookViewId="0">
      <selection activeCell="C33" sqref="C33"/>
    </sheetView>
  </sheetViews>
  <sheetFormatPr baseColWidth="10" defaultRowHeight="12.75"/>
  <cols>
    <col min="1" max="1" width="19.85546875" style="61" customWidth="1"/>
    <col min="2" max="4" width="11.5703125" style="61"/>
    <col min="5" max="5" width="12.42578125" style="61" customWidth="1"/>
    <col min="6" max="6" width="11.5703125" style="61"/>
    <col min="7" max="7" width="12.140625" style="61" customWidth="1"/>
    <col min="8" max="256" width="11.5703125" style="61"/>
    <col min="257" max="257" width="19.85546875" style="61" customWidth="1"/>
    <col min="258" max="260" width="11.5703125" style="61"/>
    <col min="261" max="261" width="12.42578125" style="61" customWidth="1"/>
    <col min="262" max="262" width="11.5703125" style="61"/>
    <col min="263" max="263" width="12.140625" style="61" customWidth="1"/>
    <col min="264" max="512" width="11.5703125" style="61"/>
    <col min="513" max="513" width="19.85546875" style="61" customWidth="1"/>
    <col min="514" max="516" width="11.5703125" style="61"/>
    <col min="517" max="517" width="12.42578125" style="61" customWidth="1"/>
    <col min="518" max="518" width="11.5703125" style="61"/>
    <col min="519" max="519" width="12.140625" style="61" customWidth="1"/>
    <col min="520" max="768" width="11.5703125" style="61"/>
    <col min="769" max="769" width="19.85546875" style="61" customWidth="1"/>
    <col min="770" max="772" width="11.5703125" style="61"/>
    <col min="773" max="773" width="12.42578125" style="61" customWidth="1"/>
    <col min="774" max="774" width="11.5703125" style="61"/>
    <col min="775" max="775" width="12.140625" style="61" customWidth="1"/>
    <col min="776" max="1024" width="11.5703125" style="61"/>
    <col min="1025" max="1025" width="19.85546875" style="61" customWidth="1"/>
    <col min="1026" max="1028" width="11.5703125" style="61"/>
    <col min="1029" max="1029" width="12.42578125" style="61" customWidth="1"/>
    <col min="1030" max="1030" width="11.5703125" style="61"/>
    <col min="1031" max="1031" width="12.140625" style="61" customWidth="1"/>
    <col min="1032" max="1280" width="11.5703125" style="61"/>
    <col min="1281" max="1281" width="19.85546875" style="61" customWidth="1"/>
    <col min="1282" max="1284" width="11.5703125" style="61"/>
    <col min="1285" max="1285" width="12.42578125" style="61" customWidth="1"/>
    <col min="1286" max="1286" width="11.5703125" style="61"/>
    <col min="1287" max="1287" width="12.140625" style="61" customWidth="1"/>
    <col min="1288" max="1536" width="11.5703125" style="61"/>
    <col min="1537" max="1537" width="19.85546875" style="61" customWidth="1"/>
    <col min="1538" max="1540" width="11.5703125" style="61"/>
    <col min="1541" max="1541" width="12.42578125" style="61" customWidth="1"/>
    <col min="1542" max="1542" width="11.5703125" style="61"/>
    <col min="1543" max="1543" width="12.140625" style="61" customWidth="1"/>
    <col min="1544" max="1792" width="11.5703125" style="61"/>
    <col min="1793" max="1793" width="19.85546875" style="61" customWidth="1"/>
    <col min="1794" max="1796" width="11.5703125" style="61"/>
    <col min="1797" max="1797" width="12.42578125" style="61" customWidth="1"/>
    <col min="1798" max="1798" width="11.5703125" style="61"/>
    <col min="1799" max="1799" width="12.140625" style="61" customWidth="1"/>
    <col min="1800" max="2048" width="11.5703125" style="61"/>
    <col min="2049" max="2049" width="19.85546875" style="61" customWidth="1"/>
    <col min="2050" max="2052" width="11.5703125" style="61"/>
    <col min="2053" max="2053" width="12.42578125" style="61" customWidth="1"/>
    <col min="2054" max="2054" width="11.5703125" style="61"/>
    <col min="2055" max="2055" width="12.140625" style="61" customWidth="1"/>
    <col min="2056" max="2304" width="11.5703125" style="61"/>
    <col min="2305" max="2305" width="19.85546875" style="61" customWidth="1"/>
    <col min="2306" max="2308" width="11.5703125" style="61"/>
    <col min="2309" max="2309" width="12.42578125" style="61" customWidth="1"/>
    <col min="2310" max="2310" width="11.5703125" style="61"/>
    <col min="2311" max="2311" width="12.140625" style="61" customWidth="1"/>
    <col min="2312" max="2560" width="11.5703125" style="61"/>
    <col min="2561" max="2561" width="19.85546875" style="61" customWidth="1"/>
    <col min="2562" max="2564" width="11.5703125" style="61"/>
    <col min="2565" max="2565" width="12.42578125" style="61" customWidth="1"/>
    <col min="2566" max="2566" width="11.5703125" style="61"/>
    <col min="2567" max="2567" width="12.140625" style="61" customWidth="1"/>
    <col min="2568" max="2816" width="11.5703125" style="61"/>
    <col min="2817" max="2817" width="19.85546875" style="61" customWidth="1"/>
    <col min="2818" max="2820" width="11.5703125" style="61"/>
    <col min="2821" max="2821" width="12.42578125" style="61" customWidth="1"/>
    <col min="2822" max="2822" width="11.5703125" style="61"/>
    <col min="2823" max="2823" width="12.140625" style="61" customWidth="1"/>
    <col min="2824" max="3072" width="11.5703125" style="61"/>
    <col min="3073" max="3073" width="19.85546875" style="61" customWidth="1"/>
    <col min="3074" max="3076" width="11.5703125" style="61"/>
    <col min="3077" max="3077" width="12.42578125" style="61" customWidth="1"/>
    <col min="3078" max="3078" width="11.5703125" style="61"/>
    <col min="3079" max="3079" width="12.140625" style="61" customWidth="1"/>
    <col min="3080" max="3328" width="11.5703125" style="61"/>
    <col min="3329" max="3329" width="19.85546875" style="61" customWidth="1"/>
    <col min="3330" max="3332" width="11.5703125" style="61"/>
    <col min="3333" max="3333" width="12.42578125" style="61" customWidth="1"/>
    <col min="3334" max="3334" width="11.5703125" style="61"/>
    <col min="3335" max="3335" width="12.140625" style="61" customWidth="1"/>
    <col min="3336" max="3584" width="11.5703125" style="61"/>
    <col min="3585" max="3585" width="19.85546875" style="61" customWidth="1"/>
    <col min="3586" max="3588" width="11.5703125" style="61"/>
    <col min="3589" max="3589" width="12.42578125" style="61" customWidth="1"/>
    <col min="3590" max="3590" width="11.5703125" style="61"/>
    <col min="3591" max="3591" width="12.140625" style="61" customWidth="1"/>
    <col min="3592" max="3840" width="11.5703125" style="61"/>
    <col min="3841" max="3841" width="19.85546875" style="61" customWidth="1"/>
    <col min="3842" max="3844" width="11.5703125" style="61"/>
    <col min="3845" max="3845" width="12.42578125" style="61" customWidth="1"/>
    <col min="3846" max="3846" width="11.5703125" style="61"/>
    <col min="3847" max="3847" width="12.140625" style="61" customWidth="1"/>
    <col min="3848" max="4096" width="11.5703125" style="61"/>
    <col min="4097" max="4097" width="19.85546875" style="61" customWidth="1"/>
    <col min="4098" max="4100" width="11.5703125" style="61"/>
    <col min="4101" max="4101" width="12.42578125" style="61" customWidth="1"/>
    <col min="4102" max="4102" width="11.5703125" style="61"/>
    <col min="4103" max="4103" width="12.140625" style="61" customWidth="1"/>
    <col min="4104" max="4352" width="11.5703125" style="61"/>
    <col min="4353" max="4353" width="19.85546875" style="61" customWidth="1"/>
    <col min="4354" max="4356" width="11.5703125" style="61"/>
    <col min="4357" max="4357" width="12.42578125" style="61" customWidth="1"/>
    <col min="4358" max="4358" width="11.5703125" style="61"/>
    <col min="4359" max="4359" width="12.140625" style="61" customWidth="1"/>
    <col min="4360" max="4608" width="11.5703125" style="61"/>
    <col min="4609" max="4609" width="19.85546875" style="61" customWidth="1"/>
    <col min="4610" max="4612" width="11.5703125" style="61"/>
    <col min="4613" max="4613" width="12.42578125" style="61" customWidth="1"/>
    <col min="4614" max="4614" width="11.5703125" style="61"/>
    <col min="4615" max="4615" width="12.140625" style="61" customWidth="1"/>
    <col min="4616" max="4864" width="11.5703125" style="61"/>
    <col min="4865" max="4865" width="19.85546875" style="61" customWidth="1"/>
    <col min="4866" max="4868" width="11.5703125" style="61"/>
    <col min="4869" max="4869" width="12.42578125" style="61" customWidth="1"/>
    <col min="4870" max="4870" width="11.5703125" style="61"/>
    <col min="4871" max="4871" width="12.140625" style="61" customWidth="1"/>
    <col min="4872" max="5120" width="11.5703125" style="61"/>
    <col min="5121" max="5121" width="19.85546875" style="61" customWidth="1"/>
    <col min="5122" max="5124" width="11.5703125" style="61"/>
    <col min="5125" max="5125" width="12.42578125" style="61" customWidth="1"/>
    <col min="5126" max="5126" width="11.5703125" style="61"/>
    <col min="5127" max="5127" width="12.140625" style="61" customWidth="1"/>
    <col min="5128" max="5376" width="11.5703125" style="61"/>
    <col min="5377" max="5377" width="19.85546875" style="61" customWidth="1"/>
    <col min="5378" max="5380" width="11.5703125" style="61"/>
    <col min="5381" max="5381" width="12.42578125" style="61" customWidth="1"/>
    <col min="5382" max="5382" width="11.5703125" style="61"/>
    <col min="5383" max="5383" width="12.140625" style="61" customWidth="1"/>
    <col min="5384" max="5632" width="11.5703125" style="61"/>
    <col min="5633" max="5633" width="19.85546875" style="61" customWidth="1"/>
    <col min="5634" max="5636" width="11.5703125" style="61"/>
    <col min="5637" max="5637" width="12.42578125" style="61" customWidth="1"/>
    <col min="5638" max="5638" width="11.5703125" style="61"/>
    <col min="5639" max="5639" width="12.140625" style="61" customWidth="1"/>
    <col min="5640" max="5888" width="11.5703125" style="61"/>
    <col min="5889" max="5889" width="19.85546875" style="61" customWidth="1"/>
    <col min="5890" max="5892" width="11.5703125" style="61"/>
    <col min="5893" max="5893" width="12.42578125" style="61" customWidth="1"/>
    <col min="5894" max="5894" width="11.5703125" style="61"/>
    <col min="5895" max="5895" width="12.140625" style="61" customWidth="1"/>
    <col min="5896" max="6144" width="11.5703125" style="61"/>
    <col min="6145" max="6145" width="19.85546875" style="61" customWidth="1"/>
    <col min="6146" max="6148" width="11.5703125" style="61"/>
    <col min="6149" max="6149" width="12.42578125" style="61" customWidth="1"/>
    <col min="6150" max="6150" width="11.5703125" style="61"/>
    <col min="6151" max="6151" width="12.140625" style="61" customWidth="1"/>
    <col min="6152" max="6400" width="11.5703125" style="61"/>
    <col min="6401" max="6401" width="19.85546875" style="61" customWidth="1"/>
    <col min="6402" max="6404" width="11.5703125" style="61"/>
    <col min="6405" max="6405" width="12.42578125" style="61" customWidth="1"/>
    <col min="6406" max="6406" width="11.5703125" style="61"/>
    <col min="6407" max="6407" width="12.140625" style="61" customWidth="1"/>
    <col min="6408" max="6656" width="11.5703125" style="61"/>
    <col min="6657" max="6657" width="19.85546875" style="61" customWidth="1"/>
    <col min="6658" max="6660" width="11.5703125" style="61"/>
    <col min="6661" max="6661" width="12.42578125" style="61" customWidth="1"/>
    <col min="6662" max="6662" width="11.5703125" style="61"/>
    <col min="6663" max="6663" width="12.140625" style="61" customWidth="1"/>
    <col min="6664" max="6912" width="11.5703125" style="61"/>
    <col min="6913" max="6913" width="19.85546875" style="61" customWidth="1"/>
    <col min="6914" max="6916" width="11.5703125" style="61"/>
    <col min="6917" max="6917" width="12.42578125" style="61" customWidth="1"/>
    <col min="6918" max="6918" width="11.5703125" style="61"/>
    <col min="6919" max="6919" width="12.140625" style="61" customWidth="1"/>
    <col min="6920" max="7168" width="11.5703125" style="61"/>
    <col min="7169" max="7169" width="19.85546875" style="61" customWidth="1"/>
    <col min="7170" max="7172" width="11.5703125" style="61"/>
    <col min="7173" max="7173" width="12.42578125" style="61" customWidth="1"/>
    <col min="7174" max="7174" width="11.5703125" style="61"/>
    <col min="7175" max="7175" width="12.140625" style="61" customWidth="1"/>
    <col min="7176" max="7424" width="11.5703125" style="61"/>
    <col min="7425" max="7425" width="19.85546875" style="61" customWidth="1"/>
    <col min="7426" max="7428" width="11.5703125" style="61"/>
    <col min="7429" max="7429" width="12.42578125" style="61" customWidth="1"/>
    <col min="7430" max="7430" width="11.5703125" style="61"/>
    <col min="7431" max="7431" width="12.140625" style="61" customWidth="1"/>
    <col min="7432" max="7680" width="11.5703125" style="61"/>
    <col min="7681" max="7681" width="19.85546875" style="61" customWidth="1"/>
    <col min="7682" max="7684" width="11.5703125" style="61"/>
    <col min="7685" max="7685" width="12.42578125" style="61" customWidth="1"/>
    <col min="7686" max="7686" width="11.5703125" style="61"/>
    <col min="7687" max="7687" width="12.140625" style="61" customWidth="1"/>
    <col min="7688" max="7936" width="11.5703125" style="61"/>
    <col min="7937" max="7937" width="19.85546875" style="61" customWidth="1"/>
    <col min="7938" max="7940" width="11.5703125" style="61"/>
    <col min="7941" max="7941" width="12.42578125" style="61" customWidth="1"/>
    <col min="7942" max="7942" width="11.5703125" style="61"/>
    <col min="7943" max="7943" width="12.140625" style="61" customWidth="1"/>
    <col min="7944" max="8192" width="11.5703125" style="61"/>
    <col min="8193" max="8193" width="19.85546875" style="61" customWidth="1"/>
    <col min="8194" max="8196" width="11.5703125" style="61"/>
    <col min="8197" max="8197" width="12.42578125" style="61" customWidth="1"/>
    <col min="8198" max="8198" width="11.5703125" style="61"/>
    <col min="8199" max="8199" width="12.140625" style="61" customWidth="1"/>
    <col min="8200" max="8448" width="11.5703125" style="61"/>
    <col min="8449" max="8449" width="19.85546875" style="61" customWidth="1"/>
    <col min="8450" max="8452" width="11.5703125" style="61"/>
    <col min="8453" max="8453" width="12.42578125" style="61" customWidth="1"/>
    <col min="8454" max="8454" width="11.5703125" style="61"/>
    <col min="8455" max="8455" width="12.140625" style="61" customWidth="1"/>
    <col min="8456" max="8704" width="11.5703125" style="61"/>
    <col min="8705" max="8705" width="19.85546875" style="61" customWidth="1"/>
    <col min="8706" max="8708" width="11.5703125" style="61"/>
    <col min="8709" max="8709" width="12.42578125" style="61" customWidth="1"/>
    <col min="8710" max="8710" width="11.5703125" style="61"/>
    <col min="8711" max="8711" width="12.140625" style="61" customWidth="1"/>
    <col min="8712" max="8960" width="11.5703125" style="61"/>
    <col min="8961" max="8961" width="19.85546875" style="61" customWidth="1"/>
    <col min="8962" max="8964" width="11.5703125" style="61"/>
    <col min="8965" max="8965" width="12.42578125" style="61" customWidth="1"/>
    <col min="8966" max="8966" width="11.5703125" style="61"/>
    <col min="8967" max="8967" width="12.140625" style="61" customWidth="1"/>
    <col min="8968" max="9216" width="11.5703125" style="61"/>
    <col min="9217" max="9217" width="19.85546875" style="61" customWidth="1"/>
    <col min="9218" max="9220" width="11.5703125" style="61"/>
    <col min="9221" max="9221" width="12.42578125" style="61" customWidth="1"/>
    <col min="9222" max="9222" width="11.5703125" style="61"/>
    <col min="9223" max="9223" width="12.140625" style="61" customWidth="1"/>
    <col min="9224" max="9472" width="11.5703125" style="61"/>
    <col min="9473" max="9473" width="19.85546875" style="61" customWidth="1"/>
    <col min="9474" max="9476" width="11.5703125" style="61"/>
    <col min="9477" max="9477" width="12.42578125" style="61" customWidth="1"/>
    <col min="9478" max="9478" width="11.5703125" style="61"/>
    <col min="9479" max="9479" width="12.140625" style="61" customWidth="1"/>
    <col min="9480" max="9728" width="11.5703125" style="61"/>
    <col min="9729" max="9729" width="19.85546875" style="61" customWidth="1"/>
    <col min="9730" max="9732" width="11.5703125" style="61"/>
    <col min="9733" max="9733" width="12.42578125" style="61" customWidth="1"/>
    <col min="9734" max="9734" width="11.5703125" style="61"/>
    <col min="9735" max="9735" width="12.140625" style="61" customWidth="1"/>
    <col min="9736" max="9984" width="11.5703125" style="61"/>
    <col min="9985" max="9985" width="19.85546875" style="61" customWidth="1"/>
    <col min="9986" max="9988" width="11.5703125" style="61"/>
    <col min="9989" max="9989" width="12.42578125" style="61" customWidth="1"/>
    <col min="9990" max="9990" width="11.5703125" style="61"/>
    <col min="9991" max="9991" width="12.140625" style="61" customWidth="1"/>
    <col min="9992" max="10240" width="11.5703125" style="61"/>
    <col min="10241" max="10241" width="19.85546875" style="61" customWidth="1"/>
    <col min="10242" max="10244" width="11.5703125" style="61"/>
    <col min="10245" max="10245" width="12.42578125" style="61" customWidth="1"/>
    <col min="10246" max="10246" width="11.5703125" style="61"/>
    <col min="10247" max="10247" width="12.140625" style="61" customWidth="1"/>
    <col min="10248" max="10496" width="11.5703125" style="61"/>
    <col min="10497" max="10497" width="19.85546875" style="61" customWidth="1"/>
    <col min="10498" max="10500" width="11.5703125" style="61"/>
    <col min="10501" max="10501" width="12.42578125" style="61" customWidth="1"/>
    <col min="10502" max="10502" width="11.5703125" style="61"/>
    <col min="10503" max="10503" width="12.140625" style="61" customWidth="1"/>
    <col min="10504" max="10752" width="11.5703125" style="61"/>
    <col min="10753" max="10753" width="19.85546875" style="61" customWidth="1"/>
    <col min="10754" max="10756" width="11.5703125" style="61"/>
    <col min="10757" max="10757" width="12.42578125" style="61" customWidth="1"/>
    <col min="10758" max="10758" width="11.5703125" style="61"/>
    <col min="10759" max="10759" width="12.140625" style="61" customWidth="1"/>
    <col min="10760" max="11008" width="11.5703125" style="61"/>
    <col min="11009" max="11009" width="19.85546875" style="61" customWidth="1"/>
    <col min="11010" max="11012" width="11.5703125" style="61"/>
    <col min="11013" max="11013" width="12.42578125" style="61" customWidth="1"/>
    <col min="11014" max="11014" width="11.5703125" style="61"/>
    <col min="11015" max="11015" width="12.140625" style="61" customWidth="1"/>
    <col min="11016" max="11264" width="11.5703125" style="61"/>
    <col min="11265" max="11265" width="19.85546875" style="61" customWidth="1"/>
    <col min="11266" max="11268" width="11.5703125" style="61"/>
    <col min="11269" max="11269" width="12.42578125" style="61" customWidth="1"/>
    <col min="11270" max="11270" width="11.5703125" style="61"/>
    <col min="11271" max="11271" width="12.140625" style="61" customWidth="1"/>
    <col min="11272" max="11520" width="11.5703125" style="61"/>
    <col min="11521" max="11521" width="19.85546875" style="61" customWidth="1"/>
    <col min="11522" max="11524" width="11.5703125" style="61"/>
    <col min="11525" max="11525" width="12.42578125" style="61" customWidth="1"/>
    <col min="11526" max="11526" width="11.5703125" style="61"/>
    <col min="11527" max="11527" width="12.140625" style="61" customWidth="1"/>
    <col min="11528" max="11776" width="11.5703125" style="61"/>
    <col min="11777" max="11777" width="19.85546875" style="61" customWidth="1"/>
    <col min="11778" max="11780" width="11.5703125" style="61"/>
    <col min="11781" max="11781" width="12.42578125" style="61" customWidth="1"/>
    <col min="11782" max="11782" width="11.5703125" style="61"/>
    <col min="11783" max="11783" width="12.140625" style="61" customWidth="1"/>
    <col min="11784" max="12032" width="11.5703125" style="61"/>
    <col min="12033" max="12033" width="19.85546875" style="61" customWidth="1"/>
    <col min="12034" max="12036" width="11.5703125" style="61"/>
    <col min="12037" max="12037" width="12.42578125" style="61" customWidth="1"/>
    <col min="12038" max="12038" width="11.5703125" style="61"/>
    <col min="12039" max="12039" width="12.140625" style="61" customWidth="1"/>
    <col min="12040" max="12288" width="11.5703125" style="61"/>
    <col min="12289" max="12289" width="19.85546875" style="61" customWidth="1"/>
    <col min="12290" max="12292" width="11.5703125" style="61"/>
    <col min="12293" max="12293" width="12.42578125" style="61" customWidth="1"/>
    <col min="12294" max="12294" width="11.5703125" style="61"/>
    <col min="12295" max="12295" width="12.140625" style="61" customWidth="1"/>
    <col min="12296" max="12544" width="11.5703125" style="61"/>
    <col min="12545" max="12545" width="19.85546875" style="61" customWidth="1"/>
    <col min="12546" max="12548" width="11.5703125" style="61"/>
    <col min="12549" max="12549" width="12.42578125" style="61" customWidth="1"/>
    <col min="12550" max="12550" width="11.5703125" style="61"/>
    <col min="12551" max="12551" width="12.140625" style="61" customWidth="1"/>
    <col min="12552" max="12800" width="11.5703125" style="61"/>
    <col min="12801" max="12801" width="19.85546875" style="61" customWidth="1"/>
    <col min="12802" max="12804" width="11.5703125" style="61"/>
    <col min="12805" max="12805" width="12.42578125" style="61" customWidth="1"/>
    <col min="12806" max="12806" width="11.5703125" style="61"/>
    <col min="12807" max="12807" width="12.140625" style="61" customWidth="1"/>
    <col min="12808" max="13056" width="11.5703125" style="61"/>
    <col min="13057" max="13057" width="19.85546875" style="61" customWidth="1"/>
    <col min="13058" max="13060" width="11.5703125" style="61"/>
    <col min="13061" max="13061" width="12.42578125" style="61" customWidth="1"/>
    <col min="13062" max="13062" width="11.5703125" style="61"/>
    <col min="13063" max="13063" width="12.140625" style="61" customWidth="1"/>
    <col min="13064" max="13312" width="11.5703125" style="61"/>
    <col min="13313" max="13313" width="19.85546875" style="61" customWidth="1"/>
    <col min="13314" max="13316" width="11.5703125" style="61"/>
    <col min="13317" max="13317" width="12.42578125" style="61" customWidth="1"/>
    <col min="13318" max="13318" width="11.5703125" style="61"/>
    <col min="13319" max="13319" width="12.140625" style="61" customWidth="1"/>
    <col min="13320" max="13568" width="11.5703125" style="61"/>
    <col min="13569" max="13569" width="19.85546875" style="61" customWidth="1"/>
    <col min="13570" max="13572" width="11.5703125" style="61"/>
    <col min="13573" max="13573" width="12.42578125" style="61" customWidth="1"/>
    <col min="13574" max="13574" width="11.5703125" style="61"/>
    <col min="13575" max="13575" width="12.140625" style="61" customWidth="1"/>
    <col min="13576" max="13824" width="11.5703125" style="61"/>
    <col min="13825" max="13825" width="19.85546875" style="61" customWidth="1"/>
    <col min="13826" max="13828" width="11.5703125" style="61"/>
    <col min="13829" max="13829" width="12.42578125" style="61" customWidth="1"/>
    <col min="13830" max="13830" width="11.5703125" style="61"/>
    <col min="13831" max="13831" width="12.140625" style="61" customWidth="1"/>
    <col min="13832" max="14080" width="11.5703125" style="61"/>
    <col min="14081" max="14081" width="19.85546875" style="61" customWidth="1"/>
    <col min="14082" max="14084" width="11.5703125" style="61"/>
    <col min="14085" max="14085" width="12.42578125" style="61" customWidth="1"/>
    <col min="14086" max="14086" width="11.5703125" style="61"/>
    <col min="14087" max="14087" width="12.140625" style="61" customWidth="1"/>
    <col min="14088" max="14336" width="11.5703125" style="61"/>
    <col min="14337" max="14337" width="19.85546875" style="61" customWidth="1"/>
    <col min="14338" max="14340" width="11.5703125" style="61"/>
    <col min="14341" max="14341" width="12.42578125" style="61" customWidth="1"/>
    <col min="14342" max="14342" width="11.5703125" style="61"/>
    <col min="14343" max="14343" width="12.140625" style="61" customWidth="1"/>
    <col min="14344" max="14592" width="11.5703125" style="61"/>
    <col min="14593" max="14593" width="19.85546875" style="61" customWidth="1"/>
    <col min="14594" max="14596" width="11.5703125" style="61"/>
    <col min="14597" max="14597" width="12.42578125" style="61" customWidth="1"/>
    <col min="14598" max="14598" width="11.5703125" style="61"/>
    <col min="14599" max="14599" width="12.140625" style="61" customWidth="1"/>
    <col min="14600" max="14848" width="11.5703125" style="61"/>
    <col min="14849" max="14849" width="19.85546875" style="61" customWidth="1"/>
    <col min="14850" max="14852" width="11.5703125" style="61"/>
    <col min="14853" max="14853" width="12.42578125" style="61" customWidth="1"/>
    <col min="14854" max="14854" width="11.5703125" style="61"/>
    <col min="14855" max="14855" width="12.140625" style="61" customWidth="1"/>
    <col min="14856" max="15104" width="11.5703125" style="61"/>
    <col min="15105" max="15105" width="19.85546875" style="61" customWidth="1"/>
    <col min="15106" max="15108" width="11.5703125" style="61"/>
    <col min="15109" max="15109" width="12.42578125" style="61" customWidth="1"/>
    <col min="15110" max="15110" width="11.5703125" style="61"/>
    <col min="15111" max="15111" width="12.140625" style="61" customWidth="1"/>
    <col min="15112" max="15360" width="11.5703125" style="61"/>
    <col min="15361" max="15361" width="19.85546875" style="61" customWidth="1"/>
    <col min="15362" max="15364" width="11.5703125" style="61"/>
    <col min="15365" max="15365" width="12.42578125" style="61" customWidth="1"/>
    <col min="15366" max="15366" width="11.5703125" style="61"/>
    <col min="15367" max="15367" width="12.140625" style="61" customWidth="1"/>
    <col min="15368" max="15616" width="11.5703125" style="61"/>
    <col min="15617" max="15617" width="19.85546875" style="61" customWidth="1"/>
    <col min="15618" max="15620" width="11.5703125" style="61"/>
    <col min="15621" max="15621" width="12.42578125" style="61" customWidth="1"/>
    <col min="15622" max="15622" width="11.5703125" style="61"/>
    <col min="15623" max="15623" width="12.140625" style="61" customWidth="1"/>
    <col min="15624" max="15872" width="11.5703125" style="61"/>
    <col min="15873" max="15873" width="19.85546875" style="61" customWidth="1"/>
    <col min="15874" max="15876" width="11.5703125" style="61"/>
    <col min="15877" max="15877" width="12.42578125" style="61" customWidth="1"/>
    <col min="15878" max="15878" width="11.5703125" style="61"/>
    <col min="15879" max="15879" width="12.140625" style="61" customWidth="1"/>
    <col min="15880" max="16128" width="11.5703125" style="61"/>
    <col min="16129" max="16129" width="19.85546875" style="61" customWidth="1"/>
    <col min="16130" max="16132" width="11.5703125" style="61"/>
    <col min="16133" max="16133" width="12.42578125" style="61" customWidth="1"/>
    <col min="16134" max="16134" width="11.5703125" style="61"/>
    <col min="16135" max="16135" width="12.140625" style="61" customWidth="1"/>
    <col min="16136" max="16384" width="11.5703125" style="61"/>
  </cols>
  <sheetData>
    <row r="1" spans="1:28" s="170" customFormat="1" ht="12.75" customHeight="1">
      <c r="A1" s="169" t="s">
        <v>168</v>
      </c>
    </row>
    <row r="2" spans="1:28" s="170" customFormat="1" ht="12.75" customHeight="1" thickBot="1">
      <c r="A2" s="189" t="s">
        <v>169</v>
      </c>
      <c r="B2" s="171"/>
      <c r="C2" s="171"/>
      <c r="D2" s="171"/>
      <c r="J2" s="171"/>
    </row>
    <row r="3" spans="1:28" s="172" customFormat="1" ht="15" customHeight="1">
      <c r="A3" s="261"/>
      <c r="B3" s="238" t="s">
        <v>155</v>
      </c>
      <c r="C3" s="241" t="s">
        <v>143</v>
      </c>
      <c r="D3" s="245" t="s">
        <v>0</v>
      </c>
      <c r="E3" s="259" t="s">
        <v>156</v>
      </c>
      <c r="F3" s="244"/>
      <c r="G3" s="244"/>
      <c r="H3" s="244"/>
      <c r="I3" s="260"/>
      <c r="J3" s="250" t="s">
        <v>157</v>
      </c>
    </row>
    <row r="4" spans="1:28" s="172" customFormat="1" ht="36" customHeight="1">
      <c r="A4" s="255"/>
      <c r="B4" s="256"/>
      <c r="C4" s="243"/>
      <c r="D4" s="246"/>
      <c r="E4" s="173" t="s">
        <v>5</v>
      </c>
      <c r="F4" s="173" t="s">
        <v>158</v>
      </c>
      <c r="G4" s="173" t="s">
        <v>161</v>
      </c>
      <c r="H4" s="173" t="s">
        <v>170</v>
      </c>
      <c r="I4" s="173" t="s">
        <v>162</v>
      </c>
      <c r="J4" s="251"/>
    </row>
    <row r="5" spans="1:28" s="170" customFormat="1" ht="12" customHeight="1">
      <c r="A5" s="174" t="s">
        <v>150</v>
      </c>
      <c r="B5" s="175">
        <v>2066624</v>
      </c>
      <c r="C5" s="176">
        <v>100</v>
      </c>
      <c r="D5" s="177">
        <v>100</v>
      </c>
      <c r="E5" s="178">
        <v>97.871165727292436</v>
      </c>
      <c r="F5" s="178">
        <v>89.526783778761882</v>
      </c>
      <c r="G5" s="178">
        <v>2.081607491251432</v>
      </c>
      <c r="H5" s="178">
        <v>3.7472709113994611</v>
      </c>
      <c r="I5" s="190">
        <v>2.5155035458796569</v>
      </c>
      <c r="J5" s="179">
        <v>2.1288342727075653</v>
      </c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spans="1:28" s="170" customFormat="1" ht="12" customHeight="1">
      <c r="A6" s="181" t="s">
        <v>9</v>
      </c>
      <c r="B6" s="182">
        <v>41599</v>
      </c>
      <c r="C6" s="183">
        <v>2.0128963952804186</v>
      </c>
      <c r="D6" s="184">
        <v>100</v>
      </c>
      <c r="E6" s="185">
        <v>98.543234212360872</v>
      </c>
      <c r="F6" s="185">
        <v>88.946849683886626</v>
      </c>
      <c r="G6" s="185">
        <v>7.0410346402557753</v>
      </c>
      <c r="H6" s="185">
        <v>0.31731532007980962</v>
      </c>
      <c r="I6" s="191">
        <v>2.2380345681386573</v>
      </c>
      <c r="J6" s="186">
        <v>1.456765787639126</v>
      </c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spans="1:28" s="170" customFormat="1" ht="12" customHeight="1">
      <c r="A7" s="180" t="s">
        <v>23</v>
      </c>
      <c r="B7" s="182">
        <v>75764</v>
      </c>
      <c r="C7" s="183">
        <v>3.6660756867238549</v>
      </c>
      <c r="D7" s="184">
        <v>99.998680111926518</v>
      </c>
      <c r="E7" s="185">
        <v>99.044401034792259</v>
      </c>
      <c r="F7" s="185">
        <v>97.769389155799587</v>
      </c>
      <c r="G7" s="185">
        <v>0.36296922021012618</v>
      </c>
      <c r="H7" s="185">
        <v>0.73121799271421783</v>
      </c>
      <c r="I7" s="191">
        <v>0.1808246660683174</v>
      </c>
      <c r="J7" s="186">
        <v>0.95427907713425897</v>
      </c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spans="1:28" s="170" customFormat="1" ht="12" customHeight="1">
      <c r="A8" s="181" t="s">
        <v>57</v>
      </c>
      <c r="B8" s="182">
        <v>2883</v>
      </c>
      <c r="C8" s="183">
        <v>0.13950288005945929</v>
      </c>
      <c r="D8" s="184">
        <v>100</v>
      </c>
      <c r="E8" s="185">
        <v>82.240721470690247</v>
      </c>
      <c r="F8" s="185">
        <v>71.938952480055491</v>
      </c>
      <c r="G8" s="185" t="s">
        <v>167</v>
      </c>
      <c r="H8" s="185">
        <v>9.5733610822060342</v>
      </c>
      <c r="I8" s="191">
        <v>0.72840790842872005</v>
      </c>
      <c r="J8" s="186">
        <v>17.759278529309746</v>
      </c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spans="1:28" s="170" customFormat="1" ht="12" customHeight="1">
      <c r="A9" s="181" t="s">
        <v>36</v>
      </c>
      <c r="B9" s="182">
        <v>3882</v>
      </c>
      <c r="C9" s="183">
        <v>0.18784258771793999</v>
      </c>
      <c r="D9" s="184">
        <v>100</v>
      </c>
      <c r="E9" s="185">
        <v>100</v>
      </c>
      <c r="F9" s="185">
        <v>79.031427099433287</v>
      </c>
      <c r="G9" s="185" t="s">
        <v>167</v>
      </c>
      <c r="H9" s="185" t="s">
        <v>167</v>
      </c>
      <c r="I9" s="191">
        <v>20.968572900566716</v>
      </c>
      <c r="J9" s="186" t="s">
        <v>167</v>
      </c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spans="1:28" s="170" customFormat="1" ht="12" customHeight="1">
      <c r="A10" s="181" t="s">
        <v>10</v>
      </c>
      <c r="B10" s="182">
        <v>4327</v>
      </c>
      <c r="C10" s="183">
        <v>0.20937529032857452</v>
      </c>
      <c r="D10" s="184">
        <v>100.02311070025422</v>
      </c>
      <c r="E10" s="185">
        <v>98.220476080425243</v>
      </c>
      <c r="F10" s="185">
        <v>94.776981742546795</v>
      </c>
      <c r="G10" s="185">
        <v>2.8426161312687772</v>
      </c>
      <c r="H10" s="185">
        <v>0.50843540559278944</v>
      </c>
      <c r="I10" s="191">
        <v>9.2442801016870815E-2</v>
      </c>
      <c r="J10" s="186">
        <v>1.8026346198289807</v>
      </c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spans="1:28" s="170" customFormat="1" ht="12" customHeight="1">
      <c r="A11" s="180" t="s">
        <v>24</v>
      </c>
      <c r="B11" s="182">
        <v>13853</v>
      </c>
      <c r="C11" s="183">
        <v>0.67032029048341646</v>
      </c>
      <c r="D11" s="184">
        <v>99.999999999999986</v>
      </c>
      <c r="E11" s="185">
        <v>96.89597921027935</v>
      </c>
      <c r="F11" s="185">
        <v>43.088139753122064</v>
      </c>
      <c r="G11" s="185">
        <v>12.343896628889048</v>
      </c>
      <c r="H11" s="185">
        <v>40.98751173031112</v>
      </c>
      <c r="I11" s="191">
        <v>0.47643109795712124</v>
      </c>
      <c r="J11" s="186">
        <v>3.1040207897206384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spans="1:28" s="170" customFormat="1" ht="12" customHeight="1">
      <c r="A12" s="180" t="s">
        <v>25</v>
      </c>
      <c r="B12" s="182">
        <v>80245</v>
      </c>
      <c r="C12" s="183">
        <v>3.8829027437985815</v>
      </c>
      <c r="D12" s="184">
        <v>100</v>
      </c>
      <c r="E12" s="185">
        <v>97.903919247305126</v>
      </c>
      <c r="F12" s="185">
        <v>90.107794878185558</v>
      </c>
      <c r="G12" s="185">
        <v>5.727459654807153</v>
      </c>
      <c r="H12" s="185">
        <v>1.575176023428251</v>
      </c>
      <c r="I12" s="191">
        <v>0.49348869088416725</v>
      </c>
      <c r="J12" s="186">
        <v>2.0960807526948719</v>
      </c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spans="1:28" s="170" customFormat="1" ht="12" customHeight="1">
      <c r="A13" s="180" t="s">
        <v>26</v>
      </c>
      <c r="B13" s="182">
        <v>0</v>
      </c>
      <c r="C13" s="183">
        <v>0</v>
      </c>
      <c r="D13" s="184" t="s">
        <v>167</v>
      </c>
      <c r="E13" s="185" t="s">
        <v>167</v>
      </c>
      <c r="F13" s="185" t="s">
        <v>167</v>
      </c>
      <c r="G13" s="185" t="s">
        <v>167</v>
      </c>
      <c r="H13" s="185" t="s">
        <v>167</v>
      </c>
      <c r="I13" s="191" t="s">
        <v>167</v>
      </c>
      <c r="J13" s="186" t="s">
        <v>167</v>
      </c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spans="1:28" s="170" customFormat="1" ht="12" customHeight="1">
      <c r="A14" s="180" t="s">
        <v>11</v>
      </c>
      <c r="B14" s="182">
        <v>520888</v>
      </c>
      <c r="C14" s="183">
        <v>25.204778421231921</v>
      </c>
      <c r="D14" s="184">
        <v>99.999999999999986</v>
      </c>
      <c r="E14" s="185">
        <v>98.263350278754729</v>
      </c>
      <c r="F14" s="185">
        <v>82.818187403050175</v>
      </c>
      <c r="G14" s="185">
        <v>1.7873324015911289</v>
      </c>
      <c r="H14" s="185">
        <v>10.02710755479105</v>
      </c>
      <c r="I14" s="191">
        <v>3.6307229193223876</v>
      </c>
      <c r="J14" s="186">
        <v>1.7366497212452581</v>
      </c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spans="1:28" s="170" customFormat="1" ht="12" customHeight="1">
      <c r="A15" s="187" t="s">
        <v>151</v>
      </c>
      <c r="B15" s="182">
        <v>160058</v>
      </c>
      <c r="C15" s="183">
        <v>7.7449018302313339</v>
      </c>
      <c r="D15" s="184">
        <v>100</v>
      </c>
      <c r="E15" s="185">
        <v>98.634869859675874</v>
      </c>
      <c r="F15" s="185">
        <v>96.045808394457012</v>
      </c>
      <c r="G15" s="185">
        <v>0.88218020967399324</v>
      </c>
      <c r="H15" s="185">
        <v>7.2473728273500848E-2</v>
      </c>
      <c r="I15" s="191">
        <v>1.6344075272713643</v>
      </c>
      <c r="J15" s="186">
        <v>1.3651301403241325</v>
      </c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spans="1:28" s="170" customFormat="1" ht="12" customHeight="1">
      <c r="A16" s="180" t="s">
        <v>27</v>
      </c>
      <c r="B16" s="182">
        <v>1149</v>
      </c>
      <c r="C16" s="183">
        <f>+B16/B5*100</f>
        <v>5.5597922021615925E-2</v>
      </c>
      <c r="D16" s="184">
        <v>100</v>
      </c>
      <c r="E16" s="185">
        <v>100</v>
      </c>
      <c r="F16" s="185">
        <v>95.039164490861623</v>
      </c>
      <c r="G16" s="185">
        <v>0.34812880765883375</v>
      </c>
      <c r="H16" s="185" t="s">
        <v>71</v>
      </c>
      <c r="I16" s="191">
        <v>4.6127067014795475</v>
      </c>
      <c r="J16" s="186" t="s">
        <v>167</v>
      </c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spans="1:28" s="170" customFormat="1" ht="12" customHeight="1">
      <c r="A17" s="180" t="s">
        <v>12</v>
      </c>
      <c r="B17" s="182">
        <v>8747</v>
      </c>
      <c r="C17" s="183">
        <v>0.42325067356229296</v>
      </c>
      <c r="D17" s="184">
        <v>100</v>
      </c>
      <c r="E17" s="185">
        <v>99.839945124042529</v>
      </c>
      <c r="F17" s="185">
        <v>98.330856293586379</v>
      </c>
      <c r="G17" s="185">
        <v>0.42300217217331659</v>
      </c>
      <c r="H17" s="185">
        <v>0.99462672916428485</v>
      </c>
      <c r="I17" s="191">
        <v>9.1459929118554925E-2</v>
      </c>
      <c r="J17" s="186">
        <v>0.16005487595747114</v>
      </c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spans="1:28" s="170" customFormat="1" ht="12" customHeight="1">
      <c r="A18" s="181" t="s">
        <v>52</v>
      </c>
      <c r="B18" s="182">
        <v>748679</v>
      </c>
      <c r="C18" s="183">
        <v>36.227151141184848</v>
      </c>
      <c r="D18" s="184">
        <v>100.00013356859216</v>
      </c>
      <c r="E18" s="185">
        <v>97.286821187718644</v>
      </c>
      <c r="F18" s="185">
        <v>92.863162984403189</v>
      </c>
      <c r="G18" s="185">
        <v>1.192633959280279</v>
      </c>
      <c r="H18" s="185">
        <v>0.35435747496590658</v>
      </c>
      <c r="I18" s="191">
        <v>2.8766667690692542</v>
      </c>
      <c r="J18" s="186">
        <v>2.713312380873512</v>
      </c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spans="1:28" s="170" customFormat="1" ht="12" customHeight="1">
      <c r="A19" s="181" t="s">
        <v>53</v>
      </c>
      <c r="B19" s="182">
        <v>47164</v>
      </c>
      <c r="C19" s="183">
        <v>2.2821761481527361</v>
      </c>
      <c r="D19" s="184">
        <v>100</v>
      </c>
      <c r="E19" s="185">
        <v>99.656517682978546</v>
      </c>
      <c r="F19" s="185">
        <v>99.143414468662542</v>
      </c>
      <c r="G19" s="185">
        <v>0.34772283945382071</v>
      </c>
      <c r="H19" s="185">
        <v>0.16538037486218302</v>
      </c>
      <c r="I19" s="191"/>
      <c r="J19" s="186">
        <v>0.34348231702145704</v>
      </c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spans="1:28" s="170" customFormat="1" ht="12" customHeight="1">
      <c r="A20" s="181" t="s">
        <v>13</v>
      </c>
      <c r="B20" s="182">
        <v>180904</v>
      </c>
      <c r="C20" s="183">
        <v>8.7536000743241154</v>
      </c>
      <c r="D20" s="184">
        <v>100</v>
      </c>
      <c r="E20" s="185">
        <v>98.491465086454696</v>
      </c>
      <c r="F20" s="185">
        <v>92.721001194003449</v>
      </c>
      <c r="G20" s="185">
        <v>1.2581258568080309</v>
      </c>
      <c r="H20" s="185">
        <v>1.0436474594259939</v>
      </c>
      <c r="I20" s="191">
        <v>3.4686905762172202</v>
      </c>
      <c r="J20" s="186">
        <v>1.5085349135453059</v>
      </c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spans="1:28" s="170" customFormat="1" ht="12" customHeight="1">
      <c r="A21" s="181" t="s">
        <v>14</v>
      </c>
      <c r="B21" s="182">
        <v>127637</v>
      </c>
      <c r="C21" s="183">
        <v>6.1761113777832835</v>
      </c>
      <c r="D21" s="184">
        <v>100.00078347187727</v>
      </c>
      <c r="E21" s="185">
        <v>95.900875138086917</v>
      </c>
      <c r="F21" s="185">
        <v>77.165712136762849</v>
      </c>
      <c r="G21" s="185">
        <v>8.7999561255748731</v>
      </c>
      <c r="H21" s="185">
        <v>9.7667604221346469</v>
      </c>
      <c r="I21" s="191">
        <v>0.16844645361454752</v>
      </c>
      <c r="J21" s="186">
        <v>4.0999083337903581</v>
      </c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spans="1:28" s="170" customFormat="1" ht="12" customHeight="1">
      <c r="A22" s="181" t="s">
        <v>28</v>
      </c>
      <c r="B22" s="182">
        <v>48844</v>
      </c>
      <c r="C22" s="183">
        <v>2.3634681490198508</v>
      </c>
      <c r="D22" s="184">
        <v>100</v>
      </c>
      <c r="E22" s="185">
        <v>99.424699041847518</v>
      </c>
      <c r="F22" s="185">
        <v>99.381705020063876</v>
      </c>
      <c r="G22" s="185">
        <v>4.2994021783637704E-2</v>
      </c>
      <c r="H22" s="185" t="s">
        <v>167</v>
      </c>
      <c r="I22" s="191" t="s">
        <v>167</v>
      </c>
      <c r="J22" s="186">
        <v>0.57530095815248539</v>
      </c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spans="1:28" s="170" customFormat="1" ht="12" customHeight="1">
      <c r="A23" s="181" t="s">
        <v>152</v>
      </c>
      <c r="B23" s="182">
        <v>0</v>
      </c>
      <c r="C23" s="183">
        <v>0</v>
      </c>
      <c r="D23" s="184" t="s">
        <v>167</v>
      </c>
      <c r="E23" s="185" t="s">
        <v>167</v>
      </c>
      <c r="F23" s="185" t="s">
        <v>167</v>
      </c>
      <c r="G23" s="185" t="s">
        <v>167</v>
      </c>
      <c r="H23" s="185" t="s">
        <v>167</v>
      </c>
      <c r="I23" s="191" t="s">
        <v>167</v>
      </c>
      <c r="J23" s="186" t="s">
        <v>167</v>
      </c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spans="1:28" s="170" customFormat="1" ht="12" customHeight="1">
      <c r="A24" s="181" t="s">
        <v>153</v>
      </c>
      <c r="B24" s="182">
        <v>0</v>
      </c>
      <c r="C24" s="183">
        <v>0</v>
      </c>
      <c r="D24" s="184" t="s">
        <v>167</v>
      </c>
      <c r="E24" s="185" t="s">
        <v>167</v>
      </c>
      <c r="F24" s="185" t="s">
        <v>167</v>
      </c>
      <c r="G24" s="185" t="s">
        <v>167</v>
      </c>
      <c r="H24" s="185" t="s">
        <v>167</v>
      </c>
      <c r="I24" s="191" t="s">
        <v>167</v>
      </c>
      <c r="J24" s="186" t="s">
        <v>167</v>
      </c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spans="1:28" s="170" customFormat="1" ht="14.1" customHeight="1">
      <c r="A25" s="180"/>
      <c r="B25" s="194"/>
      <c r="C25" s="195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spans="1:28" s="170" customFormat="1" ht="12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</sheetData>
  <mergeCells count="6">
    <mergeCell ref="J3:J4"/>
    <mergeCell ref="A3:A4"/>
    <mergeCell ref="B3:B4"/>
    <mergeCell ref="C3:C4"/>
    <mergeCell ref="D3:D4"/>
    <mergeCell ref="E3:I3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  <vt:lpstr>B4.7</vt:lpstr>
      <vt:lpstr>B4.8</vt:lpstr>
      <vt:lpstr>B4.9</vt:lpstr>
      <vt:lpstr>B4.10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Hidalgo García Raquel</cp:lastModifiedBy>
  <cp:lastPrinted>2017-02-09T07:08:39Z</cp:lastPrinted>
  <dcterms:created xsi:type="dcterms:W3CDTF">1999-12-15T09:33:34Z</dcterms:created>
  <dcterms:modified xsi:type="dcterms:W3CDTF">2018-02-14T09:43:39Z</dcterms:modified>
</cp:coreProperties>
</file>