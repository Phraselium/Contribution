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Fiscal_2024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Empleo_2025" sheetId="4" state="visible" r:id="rId4"/>
    <sheet xmlns:r="http://schemas.openxmlformats.org/officeDocument/2006/relationships" name="Cif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1F4E9A"/>
    </font>
    <font>
      <color rgb="00000000"/>
    </font>
    <font>
      <color rgb="002E7D32"/>
    </font>
    <font>
      <b val="1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M1</author>
  </authors>
  <commentList>
    <comment ref="B2" authorId="0" shapeId="0">
      <text>
        <t>Fuente: output/f4/neta_por_grupo_2024.csv (ECV 2025, EPF, ENSE y cuentas de las AAPP de Eurostat; escenario principal)</t>
      </text>
    </comment>
    <comment ref="C2" authorId="0" shapeId="0">
      <text>
        <t>Fuente: output/f4/neta_por_grupo_2024.csv (ECV 2025, EPF, ENSE y cuentas de las AAPP de Eurostat; escenario principal)</t>
      </text>
    </comment>
    <comment ref="D2" authorId="0" shapeId="0">
      <text>
        <t>Fuente: output/f4/neta_por_grupo_2024.csv (ECV 2025, EPF, ENSE y cuentas de las AAPP de Eurostat; escenario principal)</t>
      </text>
    </comment>
    <comment ref="B3" authorId="0" shapeId="0">
      <text>
        <t>Fuente: output/f4/neta_por_grupo_2024.csv (ECV 2025, EPF, ENSE y cuentas de las AAPP de Eurostat; escenario principal)</t>
      </text>
    </comment>
    <comment ref="C3" authorId="0" shapeId="0">
      <text>
        <t>Fuente: output/f4/neta_por_grupo_2024.csv (ECV 2025, EPF, ENSE y cuentas de las AAPP de Eurostat; escenario principal)</t>
      </text>
    </comment>
    <comment ref="D3" authorId="0" shapeId="0">
      <text>
        <t>Fuente: output/f4/neta_por_grupo_2024.csv (ECV 2025, EPF, ENSE y cuentas de las AAPP de Eurostat; escenario principal)</t>
      </text>
    </comment>
    <comment ref="B4" authorId="0" shapeId="0">
      <text>
        <t>Fuente: output/f4/neta_por_grupo_2024.csv (ECV 2025, EPF, ENSE y cuentas de las AAPP de Eurostat; escenario principal)</t>
      </text>
    </comment>
    <comment ref="C4" authorId="0" shapeId="0">
      <text>
        <t>Fuente: output/f4/neta_por_grupo_2024.csv (ECV 2025, EPF, ENSE y cuentas de las AAPP de Eurostat; escenario principal)</t>
      </text>
    </comment>
    <comment ref="D4" authorId="0" shapeId="0">
      <text>
        <t>Fuente: output/f4/neta_por_grupo_2024.csv (ECV 2025, EPF, ENSE y cuentas de las AAPP de Eurostat; escenario principal)</t>
      </text>
    </comment>
    <comment ref="B5" authorId="0" shapeId="0">
      <text>
        <t>Fuente: output/f4/neta_por_grupo_2024.csv (ECV 2025, EPF, ENSE y cuentas de las AAPP de Eurostat; escenario principal)</t>
      </text>
    </comment>
    <comment ref="C5" authorId="0" shapeId="0">
      <text>
        <t>Fuente: output/f4/neta_por_grupo_2024.csv (ECV 2025, EPF, ENSE y cuentas de las AAPP de Eurostat; escenario principal)</t>
      </text>
    </comment>
    <comment ref="D5" authorId="0" shapeId="0">
      <text>
        <t>Fuente: output/f4/neta_por_grupo_2024.csv (ECV 2025, EPF, ENSE y cuentas de las AAPP de Eurostat; escenario principal)</t>
      </text>
    </comment>
    <comment ref="B6" authorId="0" shapeId="0">
      <text>
        <t>Fuente: output/f4/neta_por_grupo_2024.csv (ECV 2025, EPF, ENSE y cuentas de las AAPP de Eurostat; escenario principal)</t>
      </text>
    </comment>
    <comment ref="C6" authorId="0" shapeId="0">
      <text>
        <t>Fuente: output/f4/neta_por_grupo_2024.csv (ECV 2025, EPF, ENSE y cuentas de las AAPP de Eurostat; escenario principal)</t>
      </text>
    </comment>
    <comment ref="D6" authorId="0" shapeId="0">
      <text>
        <t>Fuente: output/f4/neta_por_grupo_2024.csv (ECV 2025, EPF, ENSE y cuentas de las AAPP de Eurostat; escenario principal)</t>
      </text>
    </comment>
    <comment ref="B7" authorId="0" shapeId="0">
      <text>
        <t>Fuente: output/f4/neta_por_grupo_2024.csv (ECV 2025, EPF, ENSE y cuentas de las AAPP de Eurostat; escenario principal)</t>
      </text>
    </comment>
    <comment ref="C7" authorId="0" shapeId="0">
      <text>
        <t>Fuente: output/f4/neta_por_grupo_2024.csv (ECV 2025, EPF, ENSE y cuentas de las AAPP de Eurostat; escenario principal)</t>
      </text>
    </comment>
    <comment ref="D7" authorId="0" shapeId="0">
      <text>
        <t>Fuente: output/f4/neta_por_grupo_2024.csv (ECV 2025, EPF, ENSE y cuentas de las AAPP de Eurostat; escenario principal)</t>
      </text>
    </comment>
    <comment ref="B8" authorId="0" shapeId="0">
      <text>
        <t>Fuente: output/f4/neta_por_grupo_2024.csv (ECV 2025, EPF, ENSE y cuentas de las AAPP de Eurostat; escenario principal)</t>
      </text>
    </comment>
    <comment ref="C8" authorId="0" shapeId="0">
      <text>
        <t>Fuente: output/f4/neta_por_grupo_2024.csv (ECV 2025, EPF, ENSE y cuentas de las AAPP de Eurostat; escenario principal)</t>
      </text>
    </comment>
    <comment ref="D8" authorId="0" shapeId="0">
      <text>
        <t>Fuente: output/f4/neta_por_grupo_2024.csv (ECV 2025, EPF, ENSE y cuentas de las AAPP de Eurostat; escenario principal)</t>
      </text>
    </comment>
    <comment ref="B9" authorId="0" shapeId="0">
      <text>
        <t>Fuente: output/f4/neta_por_grupo_2024.csv (ECV 2025, EPF, ENSE y cuentas de las AAPP de Eurostat; escenario principal)</t>
      </text>
    </comment>
    <comment ref="C9" authorId="0" shapeId="0">
      <text>
        <t>Fuente: output/f4/neta_por_grupo_2024.csv (ECV 2025, EPF, ENSE y cuentas de las AAPP de Eurostat; escenario principal)</t>
      </text>
    </comment>
    <comment ref="D9" authorId="0" shapeId="0">
      <text>
        <t>Fuente: output/f4/neta_por_grupo_2024.csv (ECV 2025, EPF, ENSE y cuentas de las AAPP de Eurostat; escenario principal)</t>
      </text>
    </comment>
    <comment ref="B10" authorId="0" shapeId="0">
      <text>
        <t>Fuente: output/f4/neta_por_grupo_2024.csv (ECV 2025, EPF, ENSE y cuentas de las AAPP de Eurostat; escenario principal)</t>
      </text>
    </comment>
    <comment ref="C10" authorId="0" shapeId="0">
      <text>
        <t>Fuente: output/f4/neta_por_grupo_2024.csv (ECV 2025, EPF, ENSE y cuentas de las AAPP de Eurostat; escenario principal)</t>
      </text>
    </comment>
    <comment ref="D10" authorId="0" shapeId="0">
      <text>
        <t>Fuente: output/f4/neta_por_grupo_2024.csv (ECV 2025, EPF, ENSE y cuentas de las AAPP de Eurostat; escenario principal)</t>
      </text>
    </comment>
    <comment ref="B11" authorId="0" shapeId="0">
      <text>
        <t>Fuente: output/f4/neta_por_grupo_2024.csv (ECV 2025, EPF, ENSE y cuentas de las AAPP de Eurostat; escenario principal)</t>
      </text>
    </comment>
    <comment ref="C11" authorId="0" shapeId="0">
      <text>
        <t>Fuente: output/f4/neta_por_grupo_2024.csv (ECV 2025, EPF, ENSE y cuentas de las AAPP de Eurostat; escenario principal)</t>
      </text>
    </comment>
    <comment ref="D11" authorId="0" shapeId="0">
      <text>
        <t>Fuente: output/f4/neta_por_grupo_2024.csv (ECV 2025, EPF, ENSE y cuentas de las AAPP de Eurostat; escenario principal)</t>
      </text>
    </comment>
    <comment ref="B12" authorId="0" shapeId="0">
      <text>
        <t>Fuente: output/f4/neta_por_grupo_2024.csv (ECV 2025, EPF, ENSE y cuentas de las AAPP de Eurostat; escenario principal)</t>
      </text>
    </comment>
    <comment ref="C12" authorId="0" shapeId="0">
      <text>
        <t>Fuente: output/f4/neta_por_grupo_2024.csv (ECV 2025, EPF, ENSE y cuentas de las AAPP de Eurostat; escenario principal)</t>
      </text>
    </comment>
    <comment ref="D12" authorId="0" shapeId="0">
      <text>
        <t>Fuente: output/f4/neta_por_grupo_2024.csv (ECV 2025, EPF, ENSE y cuentas de las AAPP de Eurostat; escenario principal)</t>
      </text>
    </comment>
    <comment ref="B13" authorId="0" shapeId="0">
      <text>
        <t>Fuente: output/f4/neta_por_grupo_2024.csv (ECV 2025, EPF, ENSE y cuentas de las AAPP de Eurostat; escenario principal)</t>
      </text>
    </comment>
    <comment ref="C13" authorId="0" shapeId="0">
      <text>
        <t>Fuente: output/f4/neta_por_grupo_2024.csv (ECV 2025, EPF, ENSE y cuentas de las AAPP de Eurostat; escenario principal)</t>
      </text>
    </comment>
    <comment ref="D13" authorId="0" shapeId="0">
      <text>
        <t>Fuente: output/f4/neta_por_grupo_2024.csv (ECV 2025, EPF, ENSE y cuentas de las AAPP de Eurostat; escenario principal)</t>
      </text>
    </comment>
    <comment ref="B14" authorId="0" shapeId="0">
      <text>
        <t>Fuente: output/f4/neta_por_grupo_2024.csv (ECV 2025, EPF, ENSE y cuentas de las AAPP de Eurostat; escenario principal)</t>
      </text>
    </comment>
    <comment ref="C14" authorId="0" shapeId="0">
      <text>
        <t>Fuente: output/f4/neta_por_grupo_2024.csv (ECV 2025, EPF, ENSE y cuentas de las AAPP de Eurostat; escenario principal)</t>
      </text>
    </comment>
    <comment ref="D14" authorId="0" shapeId="0">
      <text>
        <t>Fuente: output/f4/neta_por_grupo_2024.csv (ECV 2025, EPF, ENSE y cuentas de las AAPP de Eurostat; escenario principal)</t>
      </text>
    </comment>
    <comment ref="B15" authorId="0" shapeId="0">
      <text>
        <t>Fuente: output/f4/neta_por_grupo_2024.csv (ECV 2025, EPF, ENSE y cuentas de las AAPP de Eurostat; escenario principal)</t>
      </text>
    </comment>
    <comment ref="C15" authorId="0" shapeId="0">
      <text>
        <t>Fuente: output/f4/neta_por_grupo_2024.csv (ECV 2025, EPF, ENSE y cuentas de las AAPP de Eurostat; escenario principal)</t>
      </text>
    </comment>
    <comment ref="D15" authorId="0" shapeId="0">
      <text>
        <t>Fuente: output/f4/neta_por_grupo_2024.csv (ECV 2025, EPF, ENSE y cuentas de las AAPP de Eurostat; escenario principal)</t>
      </text>
    </comment>
    <comment ref="B16" authorId="0" shapeId="0">
      <text>
        <t>Fuente: output/f4/neta_por_grupo_2024.csv (ECV 2025, EPF, ENSE y cuentas de las AAPP de Eurostat; escenario principal)</t>
      </text>
    </comment>
    <comment ref="C16" authorId="0" shapeId="0">
      <text>
        <t>Fuente: output/f4/neta_por_grupo_2024.csv (ECV 2025, EPF, ENSE y cuentas de las AAPP de Eurostat; escenario principal)</t>
      </text>
    </comment>
    <comment ref="D16" authorId="0" shapeId="0">
      <text>
        <t>Fuente: output/f4/neta_por_grupo_2024.csv (ECV 2025, EPF, ENSE y cuentas de las AAPP de Eurostat; escenario principal)</t>
      </text>
    </comment>
    <comment ref="B17" authorId="0" shapeId="0">
      <text>
        <t>Fuente: output/f4/neta_por_grupo_2024.csv (ECV 2025, EPF, ENSE y cuentas de las AAPP de Eurostat; escenario principal)</t>
      </text>
    </comment>
    <comment ref="C17" authorId="0" shapeId="0">
      <text>
        <t>Fuente: output/f4/neta_por_grupo_2024.csv (ECV 2025, EPF, ENSE y cuentas de las AAPP de Eurostat; escenario principal)</t>
      </text>
    </comment>
    <comment ref="D17" authorId="0" shapeId="0">
      <text>
        <t>Fuente: output/f4/neta_por_grupo_2024.csv (ECV 2025, EPF, ENSE y cuentas de las AAPP de Eurostat; escenario principal)</t>
      </text>
    </comment>
    <comment ref="B18" authorId="0" shapeId="0">
      <text>
        <t>Fuente: output/f4/neta_por_grupo_2024.csv (ECV 2025, EPF, ENSE y cuentas de las AAPP de Eurostat; escenario principal)</t>
      </text>
    </comment>
    <comment ref="C18" authorId="0" shapeId="0">
      <text>
        <t>Fuente: output/f4/neta_por_grupo_2024.csv (ECV 2025, EPF, ENSE y cuentas de las AAPP de Eurostat; escenario principal)</t>
      </text>
    </comment>
    <comment ref="D18" authorId="0" shapeId="0">
      <text>
        <t>Fuente: output/f4/neta_por_grupo_2024.csv (ECV 2025, EPF, ENSE y cuentas de las AAPP de Eurostat; escenario principal)</t>
      </text>
    </comment>
    <comment ref="B19" authorId="0" shapeId="0">
      <text>
        <t>Fuente: output/f4/neta_por_grupo_2024.csv (ECV 2025, EPF, ENSE y cuentas de las AAPP de Eurostat; escenario principal)</t>
      </text>
    </comment>
    <comment ref="C19" authorId="0" shapeId="0">
      <text>
        <t>Fuente: output/f4/neta_por_grupo_2024.csv (ECV 2025, EPF, ENSE y cuentas de las AAPP de Eurostat; escenario principal)</t>
      </text>
    </comment>
    <comment ref="D19" authorId="0" shapeId="0">
      <text>
        <t>Fuente: output/f4/neta_por_grupo_2024.csv (ECV 2025, EPF, ENSE y cuentas de las AAPP de Eurostat; escenario principal)</t>
      </text>
    </comment>
    <comment ref="B20" authorId="0" shapeId="0">
      <text>
        <t>Fuente: output/f4/neta_por_grupo_2024.csv (ECV 2025, EPF, ENSE y cuentas de las AAPP de Eurostat; escenario principal)</t>
      </text>
    </comment>
    <comment ref="C20" authorId="0" shapeId="0">
      <text>
        <t>Fuente: output/f4/neta_por_grupo_2024.csv (ECV 2025, EPF, ENSE y cuentas de las AAPP de Eurostat; escenario principal)</t>
      </text>
    </comment>
    <comment ref="D20" authorId="0" shapeId="0">
      <text>
        <t>Fuente: output/f4/neta_por_grupo_2024.csv (ECV 2025, EPF, ENSE y cuentas de las AAPP de Eurostat; escenario principal)</t>
      </text>
    </comment>
    <comment ref="B21" authorId="0" shapeId="0">
      <text>
        <t>Fuente: output/f4/neta_por_grupo_2024.csv (ECV 2025, EPF, ENSE y cuentas de las AAPP de Eurostat; escenario principal)</t>
      </text>
    </comment>
    <comment ref="C21" authorId="0" shapeId="0">
      <text>
        <t>Fuente: output/f4/neta_por_grupo_2024.csv (ECV 2025, EPF, ENSE y cuentas de las AAPP de Eurostat; escenario principal)</t>
      </text>
    </comment>
    <comment ref="D21" authorId="0" shapeId="0">
      <text>
        <t>Fuente: output/f4/neta_por_grupo_2024.csv (ECV 2025, EPF, ENSE y cuentas de las AAPP de Eurostat; escenario principal)</t>
      </text>
    </comment>
  </commentList>
</comments>
</file>

<file path=xl/comments/comment2.xml><?xml version="1.0" encoding="utf-8"?>
<comments xmlns="http://schemas.openxmlformats.org/spreadsheetml/2006/main">
  <authors>
    <author>M1</author>
  </authors>
  <commentList>
    <comment ref="C2" authorId="0" shapeId="0">
      <text>
        <t>Fuente: ECV 2025 (INE), suma de pesos RB050</t>
      </text>
    </comment>
    <comment ref="C3" authorId="0" shapeId="0">
      <text>
        <t>Fuente: ECV 2025 (INE), suma de pesos RB050</t>
      </text>
    </comment>
    <comment ref="C4" authorId="0" shapeId="0">
      <text>
        <t>Fuente: ECV 2025 (INE), suma de pesos RB050</t>
      </text>
    </comment>
  </commentList>
</comments>
</file>

<file path=xl/comments/comment3.xml><?xml version="1.0" encoding="utf-8"?>
<comments xmlns="http://schemas.openxmlformats.org/spreadsheetml/2006/main">
  <authors>
    <author>M1</author>
  </authors>
  <commentList>
    <comment ref="B2" authorId="0" shapeId="0">
      <text>
        <t>Fuente: EPA (INE), microdatos 2025, medias anuales; output/f3/empleo_nacional.csv</t>
      </text>
    </comment>
    <comment ref="C2" authorId="0" shapeId="0">
      <text>
        <t>Fuente: EPA (INE), microdatos 2025, medias anuales; output/f3/empleo_nacional.csv</t>
      </text>
    </comment>
    <comment ref="D2" authorId="0" shapeId="0">
      <text>
        <t>Fuente: EPA (INE), microdatos 2025, medias anuales; output/f3/empleo_nacional.csv</t>
      </text>
    </comment>
    <comment ref="E2" authorId="0" shapeId="0">
      <text>
        <t>Fuente: EPA (INE), microdatos 2025, medias anuales; output/f3/empleo_nacional.csv</t>
      </text>
    </comment>
    <comment ref="F2" authorId="0" shapeId="0">
      <text>
        <t>Fuente: EPA (INE), microdatos 2025, medias anuales; output/f3/empleo_nacional.csv</t>
      </text>
    </comment>
    <comment ref="B3" authorId="0" shapeId="0">
      <text>
        <t>Fuente: EPA (INE), microdatos 2025, medias anuales; output/f3/empleo_nacional.csv</t>
      </text>
    </comment>
    <comment ref="C3" authorId="0" shapeId="0">
      <text>
        <t>Fuente: EPA (INE), microdatos 2025, medias anuales; output/f3/empleo_nacional.csv</t>
      </text>
    </comment>
    <comment ref="D3" authorId="0" shapeId="0">
      <text>
        <t>Fuente: EPA (INE), microdatos 2025, medias anuales; output/f3/empleo_nacional.csv</t>
      </text>
    </comment>
    <comment ref="E3" authorId="0" shapeId="0">
      <text>
        <t>Fuente: EPA (INE), microdatos 2025, medias anuales; output/f3/empleo_nacional.csv</t>
      </text>
    </comment>
    <comment ref="F3" authorId="0" shapeId="0">
      <text>
        <t>Fuente: EPA (INE), microdatos 2025, medias anuales; output/f3/empleo_nacional.csv</t>
      </text>
    </comment>
    <comment ref="B4" authorId="0" shapeId="0">
      <text>
        <t>Fuente: EPA (INE), microdatos 2025, medias anuales; output/f3/empleo_nacional.csv</t>
      </text>
    </comment>
    <comment ref="C4" authorId="0" shapeId="0">
      <text>
        <t>Fuente: EPA (INE), microdatos 2025, medias anuales; output/f3/empleo_nacional.csv</t>
      </text>
    </comment>
    <comment ref="D4" authorId="0" shapeId="0">
      <text>
        <t>Fuente: EPA (INE), microdatos 2025, medias anuales; output/f3/empleo_nacional.csv</t>
      </text>
    </comment>
    <comment ref="E4" authorId="0" shapeId="0">
      <text>
        <t>Fuente: EPA (INE), microdatos 2025, medias anuales; output/f3/empleo_nacional.csv</t>
      </text>
    </comment>
    <comment ref="F4" authorId="0" shapeId="0">
      <text>
        <t>Fuente: EPA (INE), microdatos 2025, medias anuales; output/f3/empleo_nacional.csv</t>
      </text>
    </comment>
    <comment ref="B5" authorId="0" shapeId="0">
      <text>
        <t>Fuente: EPA (INE), microdatos 2025, medias anuales; output/f3/empleo_nacional.csv</t>
      </text>
    </comment>
    <comment ref="C5" authorId="0" shapeId="0">
      <text>
        <t>Fuente: EPA (INE), microdatos 2025, medias anuales; output/f3/empleo_nacional.csv</t>
      </text>
    </comment>
    <comment ref="D5" authorId="0" shapeId="0">
      <text>
        <t>Fuente: EPA (INE), microdatos 2025, medias anuales; output/f3/empleo_nacional.csv</t>
      </text>
    </comment>
    <comment ref="E5" authorId="0" shapeId="0">
      <text>
        <t>Fuente: EPA (INE), microdatos 2025, medias anuales; output/f3/empleo_nacional.csv</t>
      </text>
    </comment>
    <comment ref="F5" authorId="0" shapeId="0">
      <text>
        <t>Fuente: EPA (INE), microdatos 2025, medias anuales; output/f3/empleo_nacional.csv</t>
      </text>
    </comment>
    <comment ref="B6" authorId="0" shapeId="0">
      <text>
        <t>Fuente: EPA (INE), microdatos 2025, medias anuales; output/f3/empleo_nacional.csv</t>
      </text>
    </comment>
    <comment ref="C6" authorId="0" shapeId="0">
      <text>
        <t>Fuente: EPA (INE), microdatos 2025, medias anuales; output/f3/empleo_nacional.csv</t>
      </text>
    </comment>
    <comment ref="D6" authorId="0" shapeId="0">
      <text>
        <t>Fuente: EPA (INE), microdatos 2025, medias anuales; output/f3/empleo_nacional.csv</t>
      </text>
    </comment>
    <comment ref="E6" authorId="0" shapeId="0">
      <text>
        <t>Fuente: EPA (INE), microdatos 2025, medias anuales; output/f3/empleo_nacional.csv</t>
      </text>
    </comment>
    <comment ref="F6" authorId="0" shapeId="0">
      <text>
        <t>Fuente: EPA (INE), microdatos 2025, medias anuales; output/f3/empleo_nacional.csv</t>
      </text>
    </comment>
    <comment ref="B7" authorId="0" shapeId="0">
      <text>
        <t>Fuente: EPA (INE), microdatos 2025, medias anuales; output/f3/empleo_nacional.csv</t>
      </text>
    </comment>
    <comment ref="C7" authorId="0" shapeId="0">
      <text>
        <t>Fuente: EPA (INE), microdatos 2025, medias anuales; output/f3/empleo_nacional.csv</t>
      </text>
    </comment>
    <comment ref="D7" authorId="0" shapeId="0">
      <text>
        <t>Fuente: EPA (INE), microdatos 2025, medias anuales; output/f3/empleo_nacional.csv</t>
      </text>
    </comment>
    <comment ref="E7" authorId="0" shapeId="0">
      <text>
        <t>Fuente: EPA (INE), microdatos 2025, medias anuales; output/f3/empleo_nacional.csv</t>
      </text>
    </comment>
    <comment ref="F7" authorId="0" shapeId="0">
      <text>
        <t>Fuente: EPA (INE), microdatos 2025, medias anuales; output/f3/empleo_nacional.csv</t>
      </text>
    </comment>
    <comment ref="B8" authorId="0" shapeId="0">
      <text>
        <t>Fuente: EPA (INE), microdatos 2025, medias anuales; output/f3/empleo_nacional.csv</t>
      </text>
    </comment>
    <comment ref="C8" authorId="0" shapeId="0">
      <text>
        <t>Fuente: EPA (INE), microdatos 2025, medias anuales; output/f3/empleo_nacional.csv</t>
      </text>
    </comment>
    <comment ref="D8" authorId="0" shapeId="0">
      <text>
        <t>Fuente: EPA (INE), microdatos 2025, medias anuales; output/f3/empleo_nacional.csv</t>
      </text>
    </comment>
    <comment ref="E8" authorId="0" shapeId="0">
      <text>
        <t>Fuente: EPA (INE), microdatos 2025, medias anuales; output/f3/empleo_nacional.csv</t>
      </text>
    </comment>
    <comment ref="F8" authorId="0" shapeId="0">
      <text>
        <t>Fuente: EPA (INE), microdatos 2025, medias anuales; output/f3/empleo_nacional.csv</t>
      </text>
    </comment>
  </commentList>
</comments>
</file>

<file path=xl/comments/comment4.xml><?xml version="1.0" encoding="utf-8"?>
<comments xmlns="http://schemas.openxmlformats.org/spreadsheetml/2006/main">
  <authors>
    <author>M1</author>
  </authors>
  <commentList>
    <comment ref="B2" authorId="0" shapeId="0">
      <text>
        <t>Fuente: EPA (INE, microdatos trimestrales) (src/m1/f3_empleo.py)</t>
      </text>
    </comment>
    <comment ref="C2" authorId="0" shapeId="0">
      <text>
        <t>Fuente: EPA (INE, microdatos trimestrales) (src/m1/f3_empleo.py)</t>
      </text>
    </comment>
    <comment ref="D2" authorId="0" shapeId="0">
      <text>
        <t>Fuente: EPA (INE, microdatos trimestrales) (src/m1/f3_empleo.py)</t>
      </text>
    </comment>
    <comment ref="B3" authorId="0" shapeId="0">
      <text>
        <t>Fuente: EPA (INE, microdatos trimestrales) (src/m1/f3_empleo.py)</t>
      </text>
    </comment>
    <comment ref="C3" authorId="0" shapeId="0">
      <text>
        <t>Fuente: EPA (INE, microdatos trimestrales) (src/m1/f3_empleo.py)</t>
      </text>
    </comment>
    <comment ref="D3" authorId="0" shapeId="0">
      <text>
        <t>Fuente: EPA (INE, microdatos trimestrales) (src/m1/f3_empleo.py)</t>
      </text>
    </comment>
    <comment ref="B4" authorId="0" shapeId="0">
      <text>
        <t>Fuente: EPA (INE, microdatos trimestrales) (src/m1/f3_empleo.py)</t>
      </text>
    </comment>
    <comment ref="C4" authorId="0" shapeId="0">
      <text>
        <t>Fuente: EPA (INE, microdatos trimestrales) (src/m1/f3_empleo.py)</t>
      </text>
    </comment>
    <comment ref="D4" authorId="0" shapeId="0">
      <text>
        <t>Fuente: EPA (INE, microdatos trimestrales) (src/m1/f3_empleo.py)</t>
      </text>
    </comment>
    <comment ref="B5" authorId="0" shapeId="0">
      <text>
        <t>Fuente: EPA (INE, microdatos trimestrales) (src/m1/f3_empleo.py)</t>
      </text>
    </comment>
    <comment ref="C5" authorId="0" shapeId="0">
      <text>
        <t>Fuente: EPA (INE, microdatos trimestrales) (src/m1/f3_empleo.py)</t>
      </text>
    </comment>
    <comment ref="D5" authorId="0" shapeId="0">
      <text>
        <t>Fuente: EPA (INE, microdatos trimestrales) (src/m1/f3_empleo.py)</t>
      </text>
    </comment>
    <comment ref="B6" authorId="0" shapeId="0">
      <text>
        <t>Fuente: EPA (INE, microdatos trimestrales) (src/m1/f3_empleo.py)</t>
      </text>
    </comment>
    <comment ref="C6" authorId="0" shapeId="0">
      <text>
        <t>Fuente: EPA (INE, microdatos trimestrales) (src/m1/f3_empleo.py)</t>
      </text>
    </comment>
    <comment ref="D6" authorId="0" shapeId="0">
      <text>
        <t>Fuente: EPA (INE, microdatos trimestrales) (src/m1/f3_empleo.py)</t>
      </text>
    </comment>
    <comment ref="B7" authorId="0" shapeId="0">
      <text>
        <t>Fuente: EPA (INE, microdatos trimestrales) (src/m1/f3_empleo.py)</t>
      </text>
    </comment>
    <comment ref="C7" authorId="0" shapeId="0">
      <text>
        <t>Fuente: EPA (INE, microdatos trimestrales) (src/m1/f3_empleo.py)</t>
      </text>
    </comment>
    <comment ref="D7" authorId="0" shapeId="0">
      <text>
        <t>Fuente: EPA (INE, microdatos trimestrales) (src/m1/f3_empleo.py)</t>
      </text>
    </comment>
    <comment ref="B8" authorId="0" shapeId="0">
      <text>
        <t>Fuente: EPA (INE, microdatos trimestrales) (src/m1/f3_empleo.py)</t>
      </text>
    </comment>
    <comment ref="C8" authorId="0" shapeId="0">
      <text>
        <t>Fuente: EPA (INE, microdatos trimestrales) (src/m1/f3_empleo.py)</t>
      </text>
    </comment>
    <comment ref="D8" authorId="0" shapeId="0">
      <text>
        <t>Fuente: EPA (INE, microdatos trimestrales) (src/m1/f3_empleo.py)</t>
      </text>
    </comment>
    <comment ref="B9" authorId="0" shapeId="0">
      <text>
        <t>Fuente: EPA (INE, microdatos trimestrales) (src/m1/f3_empleo.py)</t>
      </text>
    </comment>
    <comment ref="C9" authorId="0" shapeId="0">
      <text>
        <t>Fuente: EPA (INE, microdatos trimestrales) (src/m1/f3_empleo.py)</t>
      </text>
    </comment>
    <comment ref="D9" authorId="0" shapeId="0">
      <text>
        <t>Fuente: EPA (INE, microdatos trimestrales) (src/m1/f3_empleo.py)</t>
      </text>
    </comment>
    <comment ref="B10" authorId="0" shapeId="0">
      <text>
        <t>Fuente: EPA (INE, microdatos trimestrales) (src/m1/f3_empleo.py)</t>
      </text>
    </comment>
    <comment ref="C10" authorId="0" shapeId="0">
      <text>
        <t>Fuente: EPA (INE, microdatos trimestrales) (src/m1/f3_empleo.py)</t>
      </text>
    </comment>
    <comment ref="D10" authorId="0" shapeId="0">
      <text>
        <t>Fuente: EPA (INE, microdatos trimestrales) (src/m1/f3_empleo.py)</t>
      </text>
    </comment>
    <comment ref="B11" authorId="0" shapeId="0">
      <text>
        <t>Fuente: EPA (INE, microdatos trimestrales) (src/m1/f3_empleo.py)</t>
      </text>
    </comment>
    <comment ref="C11" authorId="0" shapeId="0">
      <text>
        <t>Fuente: EPA (INE, microdatos trimestrales) (src/m1/f3_empleo.py)</t>
      </text>
    </comment>
    <comment ref="D11" authorId="0" shapeId="0">
      <text>
        <t>Fuente: EPA (INE, microdatos trimestrales) (src/m1/f3_empleo.py)</t>
      </text>
    </comment>
    <comment ref="B12" authorId="0" shapeId="0">
      <text>
        <t>Fuente: EPA (INE, microdatos trimestrales) (src/m1/f3_empleo.py)</t>
      </text>
    </comment>
    <comment ref="C12" authorId="0" shapeId="0">
      <text>
        <t>Fuente: EPA (INE, microdatos trimestrales) (src/m1/f3_empleo.py)</t>
      </text>
    </comment>
    <comment ref="D12" authorId="0" shapeId="0">
      <text>
        <t>Fuente: EPA (INE, microdatos trimestrales) (src/m1/f3_empleo.py)</t>
      </text>
    </comment>
    <comment ref="B13" authorId="0" shapeId="0">
      <text>
        <t>Fuente: EPA (INE, microdatos trimestrales) (src/m1/f3_empleo.py)</t>
      </text>
    </comment>
    <comment ref="C13" authorId="0" shapeId="0">
      <text>
        <t>Fuente: EPA (INE, microdatos trimestrales) (src/m1/f3_empleo.py)</t>
      </text>
    </comment>
    <comment ref="D13" authorId="0" shapeId="0">
      <text>
        <t>Fuente: EPA (INE, microdatos trimestrales) (src/m1/f3_empleo.py)</t>
      </text>
    </comment>
    <comment ref="B14" authorId="0" shapeId="0">
      <text>
        <t>Fuente: EPA (INE, microdatos trimestrales) (src/m1/f3_empleo.py)</t>
      </text>
    </comment>
    <comment ref="C14" authorId="0" shapeId="0">
      <text>
        <t>Fuente: EPA (INE, microdatos trimestrales) (src/m1/f3_empleo.py)</t>
      </text>
    </comment>
    <comment ref="D14" authorId="0" shapeId="0">
      <text>
        <t>Fuente: EPA (INE, microdatos trimestrales) (src/m1/f3_empleo.py)</t>
      </text>
    </comment>
    <comment ref="B15" authorId="0" shapeId="0">
      <text>
        <t>Fuente: EPA (INE, microdatos trimestrales) (src/m1/f3_empleo.py)</t>
      </text>
    </comment>
    <comment ref="C15" authorId="0" shapeId="0">
      <text>
        <t>Fuente: EPA (INE, microdatos trimestrales) (src/m1/f3_empleo.py)</t>
      </text>
    </comment>
    <comment ref="D15" authorId="0" shapeId="0">
      <text>
        <t>Fuente: EPA (INE, microdatos trimestrales) (src/m1/f3_empleo.py)</t>
      </text>
    </comment>
    <comment ref="B16" authorId="0" shapeId="0">
      <text>
        <t>Fuente: EPA (INE, microdatos trimestrales) (src/m1/f3_empleo.py)</t>
      </text>
    </comment>
    <comment ref="C16" authorId="0" shapeId="0">
      <text>
        <t>Fuente: EPA (INE, microdatos trimestrales) (src/m1/f3_empleo.py)</t>
      </text>
    </comment>
    <comment ref="D16" authorId="0" shapeId="0">
      <text>
        <t>Fuente: EPA (INE, microdatos trimestrales) (src/m1/f3_empleo.py)</t>
      </text>
    </comment>
    <comment ref="B17" authorId="0" shapeId="0">
      <text>
        <t>Fuente: EPA (INE, microdatos trimestrales) (src/m1/f3_empleo.py)</t>
      </text>
    </comment>
    <comment ref="C17" authorId="0" shapeId="0">
      <text>
        <t>Fuente: EPA (INE, microdatos trimestrales) (src/m1/f3_empleo.py)</t>
      </text>
    </comment>
    <comment ref="D17" authorId="0" shapeId="0">
      <text>
        <t>Fuente: EPA (INE, microdatos trimestrales) (src/m1/f3_empleo.py)</t>
      </text>
    </comment>
    <comment ref="B18" authorId="0" shapeId="0">
      <text>
        <t>Fuente: EPA (INE, microdatos trimestrales) (src/m1/f3_empleo.py)</t>
      </text>
    </comment>
    <comment ref="C18" authorId="0" shapeId="0">
      <text>
        <t>Fuente: EPA (INE, microdatos trimestrales) (src/m1/f3_empleo.py)</t>
      </text>
    </comment>
    <comment ref="D18" authorId="0" shapeId="0">
      <text>
        <t>Fuente: EPA (INE, microdatos trimestrales) (src/m1/f3_empleo.py)</t>
      </text>
    </comment>
    <comment ref="B19" authorId="0" shapeId="0">
      <text>
        <t>Fuente: EPA (INE, microdatos trimestrales) (src/m1/f3_empleo.py)</t>
      </text>
    </comment>
    <comment ref="C19" authorId="0" shapeId="0">
      <text>
        <t>Fuente: EPA (INE, microdatos trimestrales) (src/m1/f3_empleo.py)</t>
      </text>
    </comment>
    <comment ref="D19" authorId="0" shapeId="0">
      <text>
        <t>Fuente: EPA (INE, microdatos trimestrales) (src/m1/f3_empleo.py)</t>
      </text>
    </comment>
    <comment ref="B20" authorId="0" shapeId="0">
      <text>
        <t>Fuente: EPA (INE, microdatos trimestrales) (src/m1/f3_empleo.py)</t>
      </text>
    </comment>
    <comment ref="C20" authorId="0" shapeId="0">
      <text>
        <t>Fuente: EPA (INE, microdatos trimestrales) (src/m1/f3_empleo.py)</t>
      </text>
    </comment>
    <comment ref="D20" authorId="0" shapeId="0">
      <text>
        <t>Fuente: EPA (INE, microdatos trimestrales) (src/m1/f3_empleo.py)</t>
      </text>
    </comment>
    <comment ref="B21" authorId="0" shapeId="0">
      <text>
        <t>Fuente: EPA (INE, microdatos trimestrales) (src/m1/f3_empleo.py)</t>
      </text>
    </comment>
    <comment ref="C21" authorId="0" shapeId="0">
      <text>
        <t>Fuente: EPA (INE, microdatos trimestrales) (src/m1/f3_empleo.py)</t>
      </text>
    </comment>
    <comment ref="D21" authorId="0" shapeId="0">
      <text>
        <t>Fuente: EPA (INE, microdatos trimestrales) (src/m1/f3_empleo.py)</t>
      </text>
    </comment>
    <comment ref="B22" authorId="0" shapeId="0">
      <text>
        <t>Fuente: EPA (INE, microdatos trimestrales) (src/m1/f3_empleo.py)</t>
      </text>
    </comment>
    <comment ref="C22" authorId="0" shapeId="0">
      <text>
        <t>Fuente: EPA (INE, microdatos trimestrales) (src/m1/f3_empleo.py)</t>
      </text>
    </comment>
    <comment ref="D22" authorId="0" shapeId="0">
      <text>
        <t>Fuente: EPA (INE, microdatos trimestrales) (src/m1/f3_empleo.py)</t>
      </text>
    </comment>
    <comment ref="B23" authorId="0" shapeId="0">
      <text>
        <t>Fuente: EPA (INE, microdatos trimestrales) (src/m1/f3_empleo.py)</t>
      </text>
    </comment>
    <comment ref="C23" authorId="0" shapeId="0">
      <text>
        <t>Fuente: EPA (INE, microdatos trimestrales) (src/m1/f3_empleo.py)</t>
      </text>
    </comment>
    <comment ref="D23" authorId="0" shapeId="0">
      <text>
        <t>Fuente: EPA (INE, microdatos trimestrales) (src/m1/f3_empleo.py)</t>
      </text>
    </comment>
    <comment ref="B24" authorId="0" shapeId="0">
      <text>
        <t>Fuente: EPA (INE, microdatos trimestrales) (src/m1/f3_empleo.py)</t>
      </text>
    </comment>
    <comment ref="C24" authorId="0" shapeId="0">
      <text>
        <t>Fuente: EPA (INE, microdatos trimestrales) (src/m1/f3_empleo.py)</t>
      </text>
    </comment>
    <comment ref="D24" authorId="0" shapeId="0">
      <text>
        <t>Fuente: EPA (INE, microdatos trimestrales) (src/m1/f3_empleo.py)</t>
      </text>
    </comment>
    <comment ref="B25" authorId="0" shapeId="0">
      <text>
        <t>Fuente: EPA (INE, microdatos trimestrales) (src/m1/f3_empleo.py)</t>
      </text>
    </comment>
    <comment ref="C25" authorId="0" shapeId="0">
      <text>
        <t>Fuente: EPA (INE, microdatos trimestrales) (src/m1/f3_empleo.py)</t>
      </text>
    </comment>
    <comment ref="D25" authorId="0" shapeId="0">
      <text>
        <t>Fuente: EPA (INE, microdatos trimestrales) (src/m1/f3_empleo.py)</t>
      </text>
    </comment>
    <comment ref="B26" authorId="0" shapeId="0">
      <text>
        <t>Fuente: Eurostat lfsa_ergacob (src/m1/f3_empleo.py)</t>
      </text>
    </comment>
    <comment ref="C26" authorId="0" shapeId="0">
      <text>
        <t>Fuente: Eurostat lfsa_ergacob (src/m1/f3_empleo.py)</t>
      </text>
    </comment>
    <comment ref="D26" authorId="0" shapeId="0">
      <text>
        <t>Fuente: Eurostat lfsa_ergacob (src/m1/f3_empleo.py)</t>
      </text>
    </comment>
    <comment ref="B27" authorId="0" shapeId="0">
      <text>
        <t>Fuente: Eurostat lfsa_ergacob (src/m1/f3_empleo.py)</t>
      </text>
    </comment>
    <comment ref="C27" authorId="0" shapeId="0">
      <text>
        <t>Fuente: Eurostat lfsa_ergacob (src/m1/f3_empleo.py)</t>
      </text>
    </comment>
    <comment ref="D27" authorId="0" shapeId="0">
      <text>
        <t>Fuente: Eurostat lfsa_ergacob (src/m1/f3_empleo.py)</t>
      </text>
    </comment>
    <comment ref="B28" authorId="0" shapeId="0">
      <text>
        <t>Fuente: EPA (INE, microdatos trimestrales) (src/m1/f3_empleo.py)</t>
      </text>
    </comment>
    <comment ref="C28" authorId="0" shapeId="0">
      <text>
        <t>Fuente: EPA (INE, microdatos trimestrales) (src/m1/f3_empleo.py)</t>
      </text>
    </comment>
    <comment ref="D28" authorId="0" shapeId="0">
      <text>
        <t>Fuente: EPA (INE, microdatos trimestrales) (src/m1/f3_empleo.py)</t>
      </text>
    </comment>
    <comment ref="B29" authorId="0" shapeId="0">
      <text>
        <t>Fuente: EPA (INE, microdatos trimestrales) (src/m1/f3_empleo.py)</t>
      </text>
    </comment>
    <comment ref="C29" authorId="0" shapeId="0">
      <text>
        <t>Fuente: EPA (INE, microdatos trimestrales) (src/m1/f3_empleo.py)</t>
      </text>
    </comment>
    <comment ref="D29" authorId="0" shapeId="0">
      <text>
        <t>Fuente: EPA (INE, microdatos trimestrales) (src/m1/f3_empleo.py)</t>
      </text>
    </comment>
    <comment ref="B30" authorId="0" shapeId="0">
      <text>
        <t>Fuente: EPA (INE, microdatos trimestrales) (src/m1/f3_empleo.py)</t>
      </text>
    </comment>
    <comment ref="C30" authorId="0" shapeId="0">
      <text>
        <t>Fuente: EPA (INE, microdatos trimestrales) (src/m1/f3_empleo.py)</t>
      </text>
    </comment>
    <comment ref="D30" authorId="0" shapeId="0">
      <text>
        <t>Fuente: EPA (INE, microdatos trimestrales) (src/m1/f3_empleo.py)</t>
      </text>
    </comment>
    <comment ref="B31" authorId="0" shapeId="0">
      <text>
        <t>Fuente: EPA (INE, microdatos trimestrales) (src/m1/f3_empleo.py)</t>
      </text>
    </comment>
    <comment ref="C31" authorId="0" shapeId="0">
      <text>
        <t>Fuente: EPA (INE, microdatos trimestrales) (src/m1/f3_empleo.py)</t>
      </text>
    </comment>
    <comment ref="D31" authorId="0" shapeId="0">
      <text>
        <t>Fuente: EPA (INE, microdatos trimestrales) (src/m1/f3_empleo.py)</t>
      </text>
    </comment>
    <comment ref="B32" authorId="0" shapeId="0">
      <text>
        <t>Fuente: EPA (INE, microdatos trimestrales) (src/m1/f3_empleo.py)</t>
      </text>
    </comment>
    <comment ref="C32" authorId="0" shapeId="0">
      <text>
        <t>Fuente: EPA (INE, microdatos trimestrales) (src/m1/f3_empleo.py)</t>
      </text>
    </comment>
    <comment ref="D32" authorId="0" shapeId="0">
      <text>
        <t>Fuente: EPA (INE, microdatos trimestrales) (src/m1/f3_empleo.py)</t>
      </text>
    </comment>
    <comment ref="B33" authorId="0" shapeId="0">
      <text>
        <t>Fuente: EPA (INE, microdatos trimestrales) (src/m1/f3_empleo.py)</t>
      </text>
    </comment>
    <comment ref="C33" authorId="0" shapeId="0">
      <text>
        <t>Fuente: EPA (INE, microdatos trimestrales) (src/m1/f3_empleo.py)</t>
      </text>
    </comment>
    <comment ref="D33" authorId="0" shapeId="0">
      <text>
        <t>Fuente: EPA (INE, microdatos trimestrales) (src/m1/f3_empleo.py)</t>
      </text>
    </comment>
    <comment ref="B34" authorId="0" shapeId="0">
      <text>
        <t>Fuente: EPA (INE, microdatos trimestrales) (src/m1/f3_empleo.py)</t>
      </text>
    </comment>
    <comment ref="C34" authorId="0" shapeId="0">
      <text>
        <t>Fuente: EPA (INE, microdatos trimestrales) (src/m1/f3_empleo.py)</t>
      </text>
    </comment>
    <comment ref="D34" authorId="0" shapeId="0">
      <text>
        <t>Fuente: EPA (INE, microdatos trimestrales) (src/m1/f3_empleo.py)</t>
      </text>
    </comment>
    <comment ref="B35" authorId="0" shapeId="0">
      <text>
        <t>Fuente: EPA (INE, microdatos trimestrales) (src/m1/f3_empleo.py)</t>
      </text>
    </comment>
    <comment ref="C35" authorId="0" shapeId="0">
      <text>
        <t>Fuente: EPA (INE, microdatos trimestrales) (src/m1/f3_empleo.py)</t>
      </text>
    </comment>
    <comment ref="D35" authorId="0" shapeId="0">
      <text>
        <t>Fuente: EPA (INE, microdatos trimestrales) (src/m1/f3_empleo.py)</t>
      </text>
    </comment>
    <comment ref="B36" authorId="0" shapeId="0">
      <text>
        <t>Fuente: EPA (INE, microdatos trimestrales) (src/m1/f3_empleo.py)</t>
      </text>
    </comment>
    <comment ref="C36" authorId="0" shapeId="0">
      <text>
        <t>Fuente: EPA (INE, microdatos trimestrales) (src/m1/f3_empleo.py)</t>
      </text>
    </comment>
    <comment ref="D36" authorId="0" shapeId="0">
      <text>
        <t>Fuente: EPA (INE, microdatos trimestrales) (src/m1/f3_empleo.py)</t>
      </text>
    </comment>
    <comment ref="B37" authorId="0" shapeId="0">
      <text>
        <t>Fuente: EPA (INE, microdatos trimestrales) (src/m1/f3_empleo.py)</t>
      </text>
    </comment>
    <comment ref="C37" authorId="0" shapeId="0">
      <text>
        <t>Fuente: EPA (INE, microdatos trimestrales) (src/m1/f3_empleo.py)</t>
      </text>
    </comment>
    <comment ref="D37" authorId="0" shapeId="0">
      <text>
        <t>Fuente: EPA (INE, microdatos trimestrales) (src/m1/f3_empleo.py)</t>
      </text>
    </comment>
    <comment ref="B38" authorId="0" shapeId="0">
      <text>
        <t>Fuente: EPA (INE, microdatos trimestrales) (src/m1/f3_empleo.py)</t>
      </text>
    </comment>
    <comment ref="C38" authorId="0" shapeId="0">
      <text>
        <t>Fuente: EPA (INE, microdatos trimestrales) (src/m1/f3_empleo.py)</t>
      </text>
    </comment>
    <comment ref="D38" authorId="0" shapeId="0">
      <text>
        <t>Fuente: EPA (INE, microdatos trimestrales) (src/m1/f3_empleo.py)</t>
      </text>
    </comment>
    <comment ref="B39" authorId="0" shapeId="0">
      <text>
        <t>Fuente: EPA (INE, microdatos trimestrales) (src/m1/f3_empleo.py)</t>
      </text>
    </comment>
    <comment ref="C39" authorId="0" shapeId="0">
      <text>
        <t>Fuente: EPA (INE, microdatos trimestrales) (src/m1/f3_empleo.py)</t>
      </text>
    </comment>
    <comment ref="D39" authorId="0" shapeId="0">
      <text>
        <t>Fuente: EPA (INE, microdatos trimestrales) (src/m1/f3_empleo.py)</t>
      </text>
    </comment>
    <comment ref="B40" authorId="0" shapeId="0">
      <text>
        <t>Fuente: EPA (INE, microdatos trimestrales) (src/m1/f3_empleo.py)</t>
      </text>
    </comment>
    <comment ref="C40" authorId="0" shapeId="0">
      <text>
        <t>Fuente: EPA (INE, microdatos trimestrales) (src/m1/f3_empleo.py)</t>
      </text>
    </comment>
    <comment ref="D40" authorId="0" shapeId="0">
      <text>
        <t>Fuente: EPA (INE, microdatos trimestrales) (src/m1/f3_empleo.py)</t>
      </text>
    </comment>
    <comment ref="B41" authorId="0" shapeId="0">
      <text>
        <t>Fuente: EPA (INE, microdatos trimestrales) (src/m1/f3_empleo.py)</t>
      </text>
    </comment>
    <comment ref="C41" authorId="0" shapeId="0">
      <text>
        <t>Fuente: EPA (INE, microdatos trimestrales) (src/m1/f3_empleo.py)</t>
      </text>
    </comment>
    <comment ref="D41" authorId="0" shapeId="0">
      <text>
        <t>Fuente: EPA (INE, microdatos trimestrales) (src/m1/f3_empleo.py)</t>
      </text>
    </comment>
    <comment ref="B42" authorId="0" shapeId="0">
      <text>
        <t>Fuente: EPA (INE, microdatos trimestrales) (src/m1/f3_empleo.py)</t>
      </text>
    </comment>
    <comment ref="C42" authorId="0" shapeId="0">
      <text>
        <t>Fuente: EPA (INE, microdatos trimestrales) (src/m1/f3_empleo.py)</t>
      </text>
    </comment>
    <comment ref="D42" authorId="0" shapeId="0">
      <text>
        <t>Fuente: EPA (INE, microdatos trimestrales) (src/m1/f3_empleo.py)</t>
      </text>
    </comment>
    <comment ref="B43" authorId="0" shapeId="0">
      <text>
        <t>Fuente: EPA (INE, microdatos trimestrales) (src/m1/f3_empleo.py)</t>
      </text>
    </comment>
    <comment ref="C43" authorId="0" shapeId="0">
      <text>
        <t>Fuente: EPA (INE, microdatos trimestrales) (src/m1/f3_empleo.py)</t>
      </text>
    </comment>
    <comment ref="D43" authorId="0" shapeId="0">
      <text>
        <t>Fuente: EPA (INE, microdatos trimestrales) (src/m1/f3_empleo.py)</t>
      </text>
    </comment>
    <comment ref="B44" authorId="0" shapeId="0">
      <text>
        <t>Fuente: Estadística Continua de Población (INE) (src/m1/f3_poblacion.py)</t>
      </text>
    </comment>
    <comment ref="C44" authorId="0" shapeId="0">
      <text>
        <t>Fuente: Estadística Continua de Población (INE) (src/m1/f3_poblacion.py)</t>
      </text>
    </comment>
    <comment ref="D44" authorId="0" shapeId="0">
      <text>
        <t>Fuente: Estadística Continua de Población (INE) (src/m1/f3_poblacion.py)</t>
      </text>
    </comment>
    <comment ref="B45" authorId="0" shapeId="0">
      <text>
        <t>Fuente: Estadística Continua de Población (INE) (src/m1/f3_poblacion.py)</t>
      </text>
    </comment>
    <comment ref="C45" authorId="0" shapeId="0">
      <text>
        <t>Fuente: Estadística Continua de Población (INE) (src/m1/f3_poblacion.py)</t>
      </text>
    </comment>
    <comment ref="D45" authorId="0" shapeId="0">
      <text>
        <t>Fuente: Estadística Continua de Población (INE) (src/m1/f3_poblacion.py)</t>
      </text>
    </comment>
    <comment ref="B46" authorId="0" shapeId="0">
      <text>
        <t>Fuente: Padrón continuo (INE) (src/m1/f3_poblacion.py)</t>
      </text>
    </comment>
    <comment ref="C46" authorId="0" shapeId="0">
      <text>
        <t>Fuente: Padrón continuo (INE) (src/m1/f3_poblacion.py)</t>
      </text>
    </comment>
    <comment ref="D46" authorId="0" shapeId="0">
      <text>
        <t>Fuente: Padrón continuo (INE) (src/m1/f3_poblacion.py)</t>
      </text>
    </comment>
    <comment ref="B47" authorId="0" shapeId="0">
      <text>
        <t>Fuente: Padrón continuo (INE) (src/m1/f3_poblacion.py)</t>
      </text>
    </comment>
    <comment ref="C47" authorId="0" shapeId="0">
      <text>
        <t>Fuente: Padrón continuo (INE) (src/m1/f3_poblacion.py)</t>
      </text>
    </comment>
    <comment ref="D47" authorId="0" shapeId="0">
      <text>
        <t>Fuente: Padrón continuo (INE) (src/m1/f3_poblacion.py)</t>
      </text>
    </comment>
    <comment ref="B48" authorId="0" shapeId="0">
      <text>
        <t>Fuente: Padrón continuo (INE) (src/m1/f3_poblacion.py)</t>
      </text>
    </comment>
    <comment ref="C48" authorId="0" shapeId="0">
      <text>
        <t>Fuente: Padrón continuo (INE) (src/m1/f3_poblacion.py)</t>
      </text>
    </comment>
    <comment ref="D48" authorId="0" shapeId="0">
      <text>
        <t>Fuente: Padrón continuo (INE) (src/m1/f3_poblacion.py)</t>
      </text>
    </comment>
    <comment ref="B49" authorId="0" shapeId="0">
      <text>
        <t>Fuente: Padrón continuo (INE) (src/m1/f3_poblacion.py)</t>
      </text>
    </comment>
    <comment ref="C49" authorId="0" shapeId="0">
      <text>
        <t>Fuente: Padrón continuo (INE) (src/m1/f3_poblacion.py)</t>
      </text>
    </comment>
    <comment ref="D49" authorId="0" shapeId="0">
      <text>
        <t>Fuente: Padrón continuo (INE) (src/m1/f3_poblacion.py)</t>
      </text>
    </comment>
    <comment ref="B50" authorId="0" shapeId="0">
      <text>
        <t>Fuente: Padrón continuo (INE) (src/m1/f3_poblacion.py)</t>
      </text>
    </comment>
    <comment ref="C50" authorId="0" shapeId="0">
      <text>
        <t>Fuente: Padrón continuo (INE) (src/m1/f3_poblacion.py)</t>
      </text>
    </comment>
    <comment ref="D50" authorId="0" shapeId="0">
      <text>
        <t>Fuente: Padrón continuo (INE) (src/m1/f3_poblacion.py)</t>
      </text>
    </comment>
    <comment ref="B51" authorId="0" shapeId="0">
      <text>
        <t>Fuente: Padrón continuo (INE) (src/m1/f3_poblacion.py)</t>
      </text>
    </comment>
    <comment ref="C51" authorId="0" shapeId="0">
      <text>
        <t>Fuente: Padrón continuo (INE) (src/m1/f3_poblacion.py)</t>
      </text>
    </comment>
    <comment ref="D51" authorId="0" shapeId="0">
      <text>
        <t>Fuente: Padrón continuo (INE) (src/m1/f3_poblacion.py)</t>
      </text>
    </comment>
    <comment ref="B52" authorId="0" shapeId="0">
      <text>
        <t>Fuente: Padrón continuo (INE) (src/m1/f3_poblacion.py)</t>
      </text>
    </comment>
    <comment ref="C52" authorId="0" shapeId="0">
      <text>
        <t>Fuente: Padrón continuo (INE) (src/m1/f3_poblacion.py)</t>
      </text>
    </comment>
    <comment ref="D52" authorId="0" shapeId="0">
      <text>
        <t>Fuente: Padrón continuo (INE) (src/m1/f3_poblacion.py)</t>
      </text>
    </comment>
    <comment ref="B53" authorId="0" shapeId="0">
      <text>
        <t>Fuente: Padrón continuo (INE) (src/m1/f3_poblacion.py)</t>
      </text>
    </comment>
    <comment ref="C53" authorId="0" shapeId="0">
      <text>
        <t>Fuente: Padrón continuo (INE) (src/m1/f3_poblacion.py)</t>
      </text>
    </comment>
    <comment ref="D53" authorId="0" shapeId="0">
      <text>
        <t>Fuente: Padrón continuo (INE) (src/m1/f3_poblacion.py)</t>
      </text>
    </comment>
    <comment ref="B54" authorId="0" shapeId="0">
      <text>
        <t>Fuente: Estadística Continua de Población (INE) (src/m1/f3_poblacion.py)</t>
      </text>
    </comment>
    <comment ref="C54" authorId="0" shapeId="0">
      <text>
        <t>Fuente: Estadística Continua de Población (INE) (src/m1/f3_poblacion.py)</t>
      </text>
    </comment>
    <comment ref="D54" authorId="0" shapeId="0">
      <text>
        <t>Fuente: Estadística Continua de Población (INE) (src/m1/f3_poblacion.py)</t>
      </text>
    </comment>
    <comment ref="B55" authorId="0" shapeId="0">
      <text>
        <t>Fuente: Estadística Continua de Población (INE) (src/m1/f3_poblacion.py)</t>
      </text>
    </comment>
    <comment ref="C55" authorId="0" shapeId="0">
      <text>
        <t>Fuente: Estadística Continua de Población (INE) (src/m1/f3_poblacion.py)</t>
      </text>
    </comment>
    <comment ref="D55" authorId="0" shapeId="0">
      <text>
        <t>Fuente: Estadística Continua de Población (INE) (src/m1/f3_poblacion.py)</t>
      </text>
    </comment>
    <comment ref="B56" authorId="0" shapeId="0">
      <text>
        <t>Fuente: Estadística Continua de Población (INE) (src/m1/f3_poblacion.py)</t>
      </text>
    </comment>
    <comment ref="C56" authorId="0" shapeId="0">
      <text>
        <t>Fuente: Estadística Continua de Población (INE) (src/m1/f3_poblacion.py)</t>
      </text>
    </comment>
    <comment ref="D56" authorId="0" shapeId="0">
      <text>
        <t>Fuente: Estadística Continua de Población (INE) (src/m1/f3_poblacion.py)</t>
      </text>
    </comment>
    <comment ref="B57" authorId="0" shapeId="0">
      <text>
        <t>Fuente: Eurostat migr_pop3ctb (src/m1/f3_poblacion.py)</t>
      </text>
    </comment>
    <comment ref="C57" authorId="0" shapeId="0">
      <text>
        <t>Fuente: Eurostat migr_pop3ctb (src/m1/f3_poblacion.py)</t>
      </text>
    </comment>
    <comment ref="D57" authorId="0" shapeId="0">
      <text>
        <t>Fuente: Eurostat migr_pop3ctb (src/m1/f3_poblacion.py)</t>
      </text>
    </comment>
    <comment ref="B58" authorId="0" shapeId="0">
      <text>
        <t>Fuente: Eurostat migr_pop3ctb (src/m1/f3_poblacion.py)</t>
      </text>
    </comment>
    <comment ref="C58" authorId="0" shapeId="0">
      <text>
        <t>Fuente: Eurostat migr_pop3ctb (src/m1/f3_poblacion.py)</t>
      </text>
    </comment>
    <comment ref="D58" authorId="0" shapeId="0">
      <text>
        <t>Fuente: Eurostat migr_pop3ctb (src/m1/f3_poblacion.py)</t>
      </text>
    </comment>
    <comment ref="B59" authorId="0" shapeId="0">
      <text>
        <t>Fuente: Padrón continuo (INE) (src/m1/f3_poblacion.py)</t>
      </text>
    </comment>
    <comment ref="C59" authorId="0" shapeId="0">
      <text>
        <t>Fuente: Padrón continuo (INE) (src/m1/f3_poblacion.py)</t>
      </text>
    </comment>
    <comment ref="D59" authorId="0" shapeId="0">
      <text>
        <t>Fuente: Padrón continuo (INE) (src/m1/f3_poblacion.py)</t>
      </text>
    </comment>
    <comment ref="B60" authorId="0" shapeId="0">
      <text>
        <t>Fuente: Padrón continuo (INE) (src/m1/f3_poblacion.py)</t>
      </text>
    </comment>
    <comment ref="C60" authorId="0" shapeId="0">
      <text>
        <t>Fuente: Padrón continuo (INE) (src/m1/f3_poblacion.py)</t>
      </text>
    </comment>
    <comment ref="D60" authorId="0" shapeId="0">
      <text>
        <t>Fuente: Padrón continuo (INE) (src/m1/f3_poblacion.py)</t>
      </text>
    </comment>
    <comment ref="B61" authorId="0" shapeId="0">
      <text>
        <t>Fuente: Padrón continuo (INE) (src/m1/f3_poblacion.py)</t>
      </text>
    </comment>
    <comment ref="C61" authorId="0" shapeId="0">
      <text>
        <t>Fuente: Padrón continuo (INE) (src/m1/f3_poblacion.py)</t>
      </text>
    </comment>
    <comment ref="D61" authorId="0" shapeId="0">
      <text>
        <t>Fuente: Padrón continuo (INE) (src/m1/f3_poblacion.py)</t>
      </text>
    </comment>
    <comment ref="B62" authorId="0" shapeId="0">
      <text>
        <t>Fuente: Padrón continuo (INE) (src/m1/f3_poblacion.py)</t>
      </text>
    </comment>
    <comment ref="C62" authorId="0" shapeId="0">
      <text>
        <t>Fuente: Padrón continuo (INE) (src/m1/f3_poblacion.py)</t>
      </text>
    </comment>
    <comment ref="D62" authorId="0" shapeId="0">
      <text>
        <t>Fuente: Padrón continuo (INE) (src/m1/f3_poblacion.py)</t>
      </text>
    </comment>
    <comment ref="B63" authorId="0" shapeId="0">
      <text>
        <t>Fuente: Eurostat migr_pop3ctb (src/m1/f3_poblacion.py)</t>
      </text>
    </comment>
    <comment ref="C63" authorId="0" shapeId="0">
      <text>
        <t>Fuente: Eurostat migr_pop3ctb (src/m1/f3_poblacion.py)</t>
      </text>
    </comment>
    <comment ref="D63" authorId="0" shapeId="0">
      <text>
        <t>Fuente: Eurostat migr_pop3ctb (src/m1/f3_poblacion.py)</t>
      </text>
    </comment>
    <comment ref="B64" authorId="0" shapeId="0">
      <text>
        <t>Fuente: Padrón continuo (INE) (src/m1/f3_poblacion.py)</t>
      </text>
    </comment>
    <comment ref="C64" authorId="0" shapeId="0">
      <text>
        <t>Fuente: Padrón continuo (INE) (src/m1/f3_poblacion.py)</t>
      </text>
    </comment>
    <comment ref="D64" authorId="0" shapeId="0">
      <text>
        <t>Fuente: Padrón continuo (INE) (src/m1/f3_poblacion.py)</t>
      </text>
    </comment>
    <comment ref="B65" authorId="0" shapeId="0">
      <text>
        <t>Fuente: EPA (INE) (src/m1/f3_poblacion.py)</t>
      </text>
    </comment>
    <comment ref="C65" authorId="0" shapeId="0">
      <text>
        <t>Fuente: EPA (INE) (src/m1/f3_poblacion.py)</t>
      </text>
    </comment>
    <comment ref="D65" authorId="0" shapeId="0">
      <text>
        <t>Fuente: EPA (INE) (src/m1/f3_poblacion.py)</t>
      </text>
    </comment>
    <comment ref="B66" authorId="0" shapeId="0">
      <text>
        <t>Fuente: EPA (INE) (src/m1/f3_poblacion.py)</t>
      </text>
    </comment>
    <comment ref="C66" authorId="0" shapeId="0">
      <text>
        <t>Fuente: EPA (INE) (src/m1/f3_poblacion.py)</t>
      </text>
    </comment>
    <comment ref="D66" authorId="0" shapeId="0">
      <text>
        <t>Fuente: EPA (INE) (src/m1/f3_poblacion.py)</t>
      </text>
    </comment>
    <comment ref="B67" authorId="0" shapeId="0">
      <text>
        <t>Fuente: Estadística de Migraciones (INE) (src/m1/f3_poblacion.py)</t>
      </text>
    </comment>
    <comment ref="C67" authorId="0" shapeId="0">
      <text>
        <t>Fuente: Estadística de Migraciones (INE) (src/m1/f3_poblacion.py)</t>
      </text>
    </comment>
    <comment ref="D67" authorId="0" shapeId="0">
      <text>
        <t>Fuente: Estadística de Migraciones (INE) (src/m1/f3_poblacion.py)</t>
      </text>
    </comment>
    <comment ref="B68" authorId="0" shapeId="0">
      <text>
        <t>Fuente: Estadística de Migraciones (INE) (src/m1/f3_poblacion.py)</t>
      </text>
    </comment>
    <comment ref="C68" authorId="0" shapeId="0">
      <text>
        <t>Fuente: Estadística de Migraciones (INE) (src/m1/f3_poblacion.py)</t>
      </text>
    </comment>
    <comment ref="D68" authorId="0" shapeId="0">
      <text>
        <t>Fuente: Estadística de Migraciones (INE) (src/m1/f3_poblacion.py)</t>
      </text>
    </comment>
    <comment ref="B69" authorId="0" shapeId="0">
      <text>
        <t>Fuente: ECV (INE, microdatos) (src/m1/f3_prestaciones.py)</t>
      </text>
    </comment>
    <comment ref="C69" authorId="0" shapeId="0">
      <text>
        <t>Fuente: ECV (INE, microdatos) (src/m1/f3_prestaciones.py)</t>
      </text>
    </comment>
    <comment ref="D69" authorId="0" shapeId="0">
      <text>
        <t>Fuente: ECV (INE, microdatos) (src/m1/f3_prestaciones.py)</t>
      </text>
    </comment>
    <comment ref="B70" authorId="0" shapeId="0">
      <text>
        <t>Fuente: ECV (INE, microdatos) (src/m1/f3_prestaciones.py)</t>
      </text>
    </comment>
    <comment ref="C70" authorId="0" shapeId="0">
      <text>
        <t>Fuente: ECV (INE, microdatos) (src/m1/f3_prestaciones.py)</t>
      </text>
    </comment>
    <comment ref="D70" authorId="0" shapeId="0">
      <text>
        <t>Fuente: ECV (INE, microdatos) (src/m1/f3_prestaciones.py)</t>
      </text>
    </comment>
    <comment ref="B71" authorId="0" shapeId="0">
      <text>
        <t>Fuente: ECV (INE, microdatos) (src/m1/f3_prestaciones.py)</t>
      </text>
    </comment>
    <comment ref="C71" authorId="0" shapeId="0">
      <text>
        <t>Fuente: ECV (INE, microdatos) (src/m1/f3_prestaciones.py)</t>
      </text>
    </comment>
    <comment ref="D71" authorId="0" shapeId="0">
      <text>
        <t>Fuente: ECV (INE, microdatos) (src/m1/f3_prestaciones.py)</t>
      </text>
    </comment>
    <comment ref="B72" authorId="0" shapeId="0">
      <text>
        <t>Fuente: ECV (INE, microdatos) (src/m1/f3_prestaciones.py)</t>
      </text>
    </comment>
    <comment ref="C72" authorId="0" shapeId="0">
      <text>
        <t>Fuente: ECV (INE, microdatos) (src/m1/f3_prestaciones.py)</t>
      </text>
    </comment>
    <comment ref="D72" authorId="0" shapeId="0">
      <text>
        <t>Fuente: ECV (INE, microdatos) (src/m1/f3_prestaciones.py)</t>
      </text>
    </comment>
    <comment ref="B73" authorId="0" shapeId="0">
      <text>
        <t>Fuente: ECV (INE, microdatos) (src/m1/f3_prestaciones.py)</t>
      </text>
    </comment>
    <comment ref="C73" authorId="0" shapeId="0">
      <text>
        <t>Fuente: ECV (INE, microdatos) (src/m1/f3_prestaciones.py)</t>
      </text>
    </comment>
    <comment ref="D73" authorId="0" shapeId="0">
      <text>
        <t>Fuente: ECV (INE, microdatos) (src/m1/f3_prestaciones.py)</t>
      </text>
    </comment>
    <comment ref="B74" authorId="0" shapeId="0">
      <text>
        <t>Fuente: ECV (INE, microdatos) (src/m1/f3_prestaciones.py)</t>
      </text>
    </comment>
    <comment ref="C74" authorId="0" shapeId="0">
      <text>
        <t>Fuente: ECV (INE, microdatos) (src/m1/f3_prestaciones.py)</t>
      </text>
    </comment>
    <comment ref="D74" authorId="0" shapeId="0">
      <text>
        <t>Fuente: ECV (INE, microdatos) (src/m1/f3_prestaciones.py)</t>
      </text>
    </comment>
    <comment ref="B75" authorId="0" shapeId="0">
      <text>
        <t>Fuente: ECV (INE, microdatos) (src/m1/f3_prestaciones.py)</t>
      </text>
    </comment>
    <comment ref="C75" authorId="0" shapeId="0">
      <text>
        <t>Fuente: ECV (INE, microdatos) (src/m1/f3_prestaciones.py)</t>
      </text>
    </comment>
    <comment ref="D75" authorId="0" shapeId="0">
      <text>
        <t>Fuente: ECV (INE, microdatos) (src/m1/f3_prestaciones.py)</t>
      </text>
    </comment>
    <comment ref="B76" authorId="0" shapeId="0">
      <text>
        <t>Fuente: ECV (INE, microdatos) (src/m1/f3_prestaciones.py)</t>
      </text>
    </comment>
    <comment ref="C76" authorId="0" shapeId="0">
      <text>
        <t>Fuente: ECV (INE, microdatos) (src/m1/f3_prestaciones.py)</t>
      </text>
    </comment>
    <comment ref="D76" authorId="0" shapeId="0">
      <text>
        <t>Fuente: ECV (INE, microdatos) (src/m1/f3_prestaciones.py)</t>
      </text>
    </comment>
    <comment ref="B77" authorId="0" shapeId="0">
      <text>
        <t>Fuente: ECV (INE, microdatos) (src/m1/f3_prestaciones.py)</t>
      </text>
    </comment>
    <comment ref="C77" authorId="0" shapeId="0">
      <text>
        <t>Fuente: ECV (INE, microdatos) (src/m1/f3_prestaciones.py)</t>
      </text>
    </comment>
    <comment ref="D77" authorId="0" shapeId="0">
      <text>
        <t>Fuente: ECV (INE, microdatos) (src/m1/f3_prestaciones.py)</t>
      </text>
    </comment>
    <comment ref="B78" authorId="0" shapeId="0">
      <text>
        <t>Fuente: ECV (INE, microdatos) (src/m1/f3_prestaciones.py)</t>
      </text>
    </comment>
    <comment ref="C78" authorId="0" shapeId="0">
      <text>
        <t>Fuente: ECV (INE, microdatos) (src/m1/f3_prestaciones.py)</t>
      </text>
    </comment>
    <comment ref="D78" authorId="0" shapeId="0">
      <text>
        <t>Fuente: ECV (INE, microdatos) (src/m1/f3_prestaciones.py)</t>
      </text>
    </comment>
    <comment ref="B79" authorId="0" shapeId="0">
      <text>
        <t>Fuente: ECV (INE, microdatos) (src/m1/f3_prestaciones.py)</t>
      </text>
    </comment>
    <comment ref="C79" authorId="0" shapeId="0">
      <text>
        <t>Fuente: ECV (INE, microdatos) (src/m1/f3_prestaciones.py)</t>
      </text>
    </comment>
    <comment ref="D79" authorId="0" shapeId="0">
      <text>
        <t>Fuente: ECV (INE, microdatos) (src/m1/f3_prestaciones.py)</t>
      </text>
    </comment>
    <comment ref="B80" authorId="0" shapeId="0">
      <text>
        <t>Fuente: ECV (INE, microdatos) (src/m1/f3_prestaciones.py)</t>
      </text>
    </comment>
    <comment ref="C80" authorId="0" shapeId="0">
      <text>
        <t>Fuente: ECV (INE, microdatos) (src/m1/f3_prestaciones.py)</t>
      </text>
    </comment>
    <comment ref="D80" authorId="0" shapeId="0">
      <text>
        <t>Fuente: ECV (INE, microdatos) (src/m1/f3_prestaciones.py)</t>
      </text>
    </comment>
    <comment ref="B81" authorId="0" shapeId="0">
      <text>
        <t>Fuente: ECV (INE, microdatos) (src/m1/f3_prestaciones.py)</t>
      </text>
    </comment>
    <comment ref="C81" authorId="0" shapeId="0">
      <text>
        <t>Fuente: ECV (INE, microdatos) (src/m1/f3_prestaciones.py)</t>
      </text>
    </comment>
    <comment ref="D81" authorId="0" shapeId="0">
      <text>
        <t>Fuente: ECV (INE, microdatos) (src/m1/f3_prestaciones.py)</t>
      </text>
    </comment>
    <comment ref="B82" authorId="0" shapeId="0">
      <text>
        <t>Fuente: ECV (INE, microdatos) (src/m1/f3_prestaciones.py)</t>
      </text>
    </comment>
    <comment ref="C82" authorId="0" shapeId="0">
      <text>
        <t>Fuente: ECV (INE, microdatos) (src/m1/f3_prestaciones.py)</t>
      </text>
    </comment>
    <comment ref="D82" authorId="0" shapeId="0">
      <text>
        <t>Fuente: ECV (INE, microdatos) (src/m1/f3_prestaciones.py)</t>
      </text>
    </comment>
    <comment ref="B83" authorId="0" shapeId="0">
      <text>
        <t>Fuente: ECV (INE, microdatos) (src/m1/f3_prestaciones.py)</t>
      </text>
    </comment>
    <comment ref="C83" authorId="0" shapeId="0">
      <text>
        <t>Fuente: ECV (INE, microdatos) (src/m1/f3_prestaciones.py)</t>
      </text>
    </comment>
    <comment ref="D83" authorId="0" shapeId="0">
      <text>
        <t>Fuente: ECV (INE, microdatos) (src/m1/f3_prestaciones.py)</t>
      </text>
    </comment>
    <comment ref="B84" authorId="0" shapeId="0">
      <text>
        <t>Fuente: ECV (INE, microdatos) (src/m1/f3_prestaciones.py)</t>
      </text>
    </comment>
    <comment ref="C84" authorId="0" shapeId="0">
      <text>
        <t>Fuente: ECV (INE, microdatos) (src/m1/f3_prestaciones.py)</t>
      </text>
    </comment>
    <comment ref="D84" authorId="0" shapeId="0">
      <text>
        <t>Fuente: ECV (INE, microdatos) (src/m1/f3_prestaciones.py)</t>
      </text>
    </comment>
    <comment ref="B85" authorId="0" shapeId="0">
      <text>
        <t>Fuente: ECV (INE, microdatos) (src/m1/f3_prestaciones.py)</t>
      </text>
    </comment>
    <comment ref="C85" authorId="0" shapeId="0">
      <text>
        <t>Fuente: ECV (INE, microdatos) (src/m1/f3_prestaciones.py)</t>
      </text>
    </comment>
    <comment ref="D85" authorId="0" shapeId="0">
      <text>
        <t>Fuente: ECV (INE, microdatos) (src/m1/f3_prestaciones.py)</t>
      </text>
    </comment>
    <comment ref="B86" authorId="0" shapeId="0">
      <text>
        <t>Fuente: ECV (INE, microdatos) (src/m1/f3_prestaciones.py)</t>
      </text>
    </comment>
    <comment ref="C86" authorId="0" shapeId="0">
      <text>
        <t>Fuente: ECV (INE, microdatos) (src/m1/f3_prestaciones.py)</t>
      </text>
    </comment>
    <comment ref="D86" authorId="0" shapeId="0">
      <text>
        <t>Fuente: ECV (INE, microdatos) (src/m1/f3_prestaciones.py)</t>
      </text>
    </comment>
    <comment ref="B87" authorId="0" shapeId="0">
      <text>
        <t>Fuente: ECV (INE, microdatos) (src/m1/f3_prestaciones.py)</t>
      </text>
    </comment>
    <comment ref="C87" authorId="0" shapeId="0">
      <text>
        <t>Fuente: ECV (INE, microdatos) (src/m1/f3_prestaciones.py)</t>
      </text>
    </comment>
    <comment ref="D87" authorId="0" shapeId="0">
      <text>
        <t>Fuente: ECV (INE, microdatos) (src/m1/f3_prestaciones.py)</t>
      </text>
    </comment>
    <comment ref="B88" authorId="0" shapeId="0">
      <text>
        <t>Fuente: ECV (INE, microdatos) (src/m1/f3_prestaciones.py)</t>
      </text>
    </comment>
    <comment ref="C88" authorId="0" shapeId="0">
      <text>
        <t>Fuente: ECV (INE, microdatos) (src/m1/f3_prestaciones.py)</t>
      </text>
    </comment>
    <comment ref="D88" authorId="0" shapeId="0">
      <text>
        <t>Fuente: ECV (INE, microdatos) (src/m1/f3_prestaciones.py)</t>
      </text>
    </comment>
    <comment ref="B89" authorId="0" shapeId="0">
      <text>
        <t>Fuente: ECV (INE, microdatos) (src/m1/f3_prestaciones.py)</t>
      </text>
    </comment>
    <comment ref="C89" authorId="0" shapeId="0">
      <text>
        <t>Fuente: ECV (INE, microdatos) (src/m1/f3_prestaciones.py)</t>
      </text>
    </comment>
    <comment ref="D89" authorId="0" shapeId="0">
      <text>
        <t>Fuente: ECV (INE, microdatos) (src/m1/f3_prestaciones.py)</t>
      </text>
    </comment>
    <comment ref="B90" authorId="0" shapeId="0">
      <text>
        <t>Fuente: ECV (INE, microdatos) (src/m1/f3_prestaciones.py)</t>
      </text>
    </comment>
    <comment ref="C90" authorId="0" shapeId="0">
      <text>
        <t>Fuente: ECV (INE, microdatos) (src/m1/f3_prestaciones.py)</t>
      </text>
    </comment>
    <comment ref="D90" authorId="0" shapeId="0">
      <text>
        <t>Fuente: ECV (INE, microdatos) (src/m1/f3_prestaciones.py)</t>
      </text>
    </comment>
    <comment ref="B91" authorId="0" shapeId="0">
      <text>
        <t>Fuente: ECV (INE, microdatos) (src/m1/f3_prestaciones.py)</t>
      </text>
    </comment>
    <comment ref="C91" authorId="0" shapeId="0">
      <text>
        <t>Fuente: ECV (INE, microdatos) (src/m1/f3_prestaciones.py)</t>
      </text>
    </comment>
    <comment ref="D91" authorId="0" shapeId="0">
      <text>
        <t>Fuente: ECV (INE, microdatos) (src/m1/f3_prestaciones.py)</t>
      </text>
    </comment>
    <comment ref="B92" authorId="0" shapeId="0">
      <text>
        <t>Fuente: ECV (INE, microdatos) (src/m1/f3_prestaciones.py)</t>
      </text>
    </comment>
    <comment ref="C92" authorId="0" shapeId="0">
      <text>
        <t>Fuente: ECV (INE, microdatos) (src/m1/f3_prestaciones.py)</t>
      </text>
    </comment>
    <comment ref="D92" authorId="0" shapeId="0">
      <text>
        <t>Fuente: ECV (INE, microdatos) (src/m1/f3_prestaciones.py)</t>
      </text>
    </comment>
    <comment ref="B93" authorId="0" shapeId="0">
      <text>
        <t>Fuente: ECV (INE, microdatos) (src/m1/f3_prestaciones.py)</t>
      </text>
    </comment>
    <comment ref="C93" authorId="0" shapeId="0">
      <text>
        <t>Fuente: ECV (INE, microdatos) (src/m1/f3_prestaciones.py)</t>
      </text>
    </comment>
    <comment ref="D93" authorId="0" shapeId="0">
      <text>
        <t>Fuente: ECV (INE, microdatos) (src/m1/f3_prestaciones.py)</t>
      </text>
    </comment>
    <comment ref="B94" authorId="0" shapeId="0">
      <text>
        <t>Fuente: ECV (INE, microdatos) (src/m1/f3_prestaciones.py)</t>
      </text>
    </comment>
    <comment ref="C94" authorId="0" shapeId="0">
      <text>
        <t>Fuente: ECV (INE, microdatos) (src/m1/f3_prestaciones.py)</t>
      </text>
    </comment>
    <comment ref="D94" authorId="0" shapeId="0">
      <text>
        <t>Fuente: ECV (INE, microdatos) (src/m1/f3_prestaciones.py)</t>
      </text>
    </comment>
    <comment ref="B95" authorId="0" shapeId="0">
      <text>
        <t>Fuente: ECV (INE, microdatos) (src/m1/f3_prestaciones.py)</t>
      </text>
    </comment>
    <comment ref="C95" authorId="0" shapeId="0">
      <text>
        <t>Fuente: ECV (INE, microdatos) (src/m1/f3_prestaciones.py)</t>
      </text>
    </comment>
    <comment ref="D95" authorId="0" shapeId="0">
      <text>
        <t>Fuente: ECV (INE, microdatos) (src/m1/f3_prestaciones.py)</t>
      </text>
    </comment>
    <comment ref="B96" authorId="0" shapeId="0">
      <text>
        <t>Fuente: ECV (INE, microdatos) (src/m1/f3_prestaciones.py)</t>
      </text>
    </comment>
    <comment ref="C96" authorId="0" shapeId="0">
      <text>
        <t>Fuente: ECV (INE, microdatos) (src/m1/f3_prestaciones.py)</t>
      </text>
    </comment>
    <comment ref="D96" authorId="0" shapeId="0">
      <text>
        <t>Fuente: ECV (INE, microdatos) (src/m1/f3_prestaciones.py)</t>
      </text>
    </comment>
    <comment ref="B97" authorId="0" shapeId="0">
      <text>
        <t>Fuente: ECV (INE, microdatos) (src/m1/f3_prestaciones.py)</t>
      </text>
    </comment>
    <comment ref="C97" authorId="0" shapeId="0">
      <text>
        <t>Fuente: ECV (INE, microdatos) (src/m1/f3_prestaciones.py)</t>
      </text>
    </comment>
    <comment ref="D97" authorId="0" shapeId="0">
      <text>
        <t>Fuente: ECV (INE, microdatos) (src/m1/f3_prestaciones.py)</t>
      </text>
    </comment>
    <comment ref="B98" authorId="0" shapeId="0">
      <text>
        <t>Fuente: ECV (INE, microdatos) (src/m1/f3_prestaciones.py)</t>
      </text>
    </comment>
    <comment ref="C98" authorId="0" shapeId="0">
      <text>
        <t>Fuente: ECV (INE, microdatos) (src/m1/f3_prestaciones.py)</t>
      </text>
    </comment>
    <comment ref="D98" authorId="0" shapeId="0">
      <text>
        <t>Fuente: ECV (INE, microdatos) (src/m1/f3_prestaciones.py)</t>
      </text>
    </comment>
    <comment ref="B99" authorId="0" shapeId="0">
      <text>
        <t>Fuente: ECV (INE, microdatos) (src/m1/f3_prestaciones.py)</t>
      </text>
    </comment>
    <comment ref="C99" authorId="0" shapeId="0">
      <text>
        <t>Fuente: ECV (INE, microdatos) (src/m1/f3_prestaciones.py)</t>
      </text>
    </comment>
    <comment ref="D99" authorId="0" shapeId="0">
      <text>
        <t>Fuente: ECV (INE, microdatos) (src/m1/f3_prestaciones.py)</t>
      </text>
    </comment>
    <comment ref="B100" authorId="0" shapeId="0">
      <text>
        <t>Fuente: ECV (INE, microdatos) (src/m1/f3_prestaciones.py)</t>
      </text>
    </comment>
    <comment ref="C100" authorId="0" shapeId="0">
      <text>
        <t>Fuente: ECV (INE, microdatos) (src/m1/f3_prestaciones.py)</t>
      </text>
    </comment>
    <comment ref="D100" authorId="0" shapeId="0">
      <text>
        <t>Fuente: ECV (INE, microdatos) (src/m1/f3_prestaciones.py)</t>
      </text>
    </comment>
    <comment ref="B101" authorId="0" shapeId="0">
      <text>
        <t>Fuente: ECV (INE, microdatos) (src/m1/f3_prestaciones.py)</t>
      </text>
    </comment>
    <comment ref="C101" authorId="0" shapeId="0">
      <text>
        <t>Fuente: ECV (INE, microdatos) (src/m1/f3_prestaciones.py)</t>
      </text>
    </comment>
    <comment ref="D101" authorId="0" shapeId="0">
      <text>
        <t>Fuente: ECV (INE, microdatos) (src/m1/f3_prestaciones.py)</t>
      </text>
    </comment>
    <comment ref="B102" authorId="0" shapeId="0">
      <text>
        <t>Fuente: ECV (INE, microdatos) (src/m1/f3_prestaciones.py)</t>
      </text>
    </comment>
    <comment ref="C102" authorId="0" shapeId="0">
      <text>
        <t>Fuente: ECV (INE, microdatos) (src/m1/f3_prestaciones.py)</t>
      </text>
    </comment>
    <comment ref="D102" authorId="0" shapeId="0">
      <text>
        <t>Fuente: ECV (INE, microdatos) (src/m1/f3_prestaciones.py)</t>
      </text>
    </comment>
    <comment ref="B103" authorId="0" shapeId="0">
      <text>
        <t>Fuente: ECV (INE, microdatos) (src/m1/f3_prestaciones.py)</t>
      </text>
    </comment>
    <comment ref="C103" authorId="0" shapeId="0">
      <text>
        <t>Fuente: ECV (INE, microdatos) (src/m1/f3_prestaciones.py)</t>
      </text>
    </comment>
    <comment ref="D103" authorId="0" shapeId="0">
      <text>
        <t>Fuente: ECV (INE, microdatos) (src/m1/f3_prestaciones.py)</t>
      </text>
    </comment>
    <comment ref="B104" authorId="0" shapeId="0">
      <text>
        <t>Fuente: ECV (INE, microdatos) (src/m1/f3_prestaciones.py)</t>
      </text>
    </comment>
    <comment ref="C104" authorId="0" shapeId="0">
      <text>
        <t>Fuente: ECV (INE, microdatos) (src/m1/f3_prestaciones.py)</t>
      </text>
    </comment>
    <comment ref="D104" authorId="0" shapeId="0">
      <text>
        <t>Fuente: ECV (INE, microdatos) (src/m1/f3_prestaciones.py)</t>
      </text>
    </comment>
    <comment ref="B105" authorId="0" shapeId="0">
      <text>
        <t>Fuente: ECV (INE, microdatos) (src/m1/f3_prestaciones.py)</t>
      </text>
    </comment>
    <comment ref="C105" authorId="0" shapeId="0">
      <text>
        <t>Fuente: ECV (INE, microdatos) (src/m1/f3_prestaciones.py)</t>
      </text>
    </comment>
    <comment ref="D105" authorId="0" shapeId="0">
      <text>
        <t>Fuente: ECV (INE, microdatos) (src/m1/f3_prestaciones.py)</t>
      </text>
    </comment>
    <comment ref="B106" authorId="0" shapeId="0">
      <text>
        <t>Fuente: ECV (INE, microdatos) (src/m1/f3_prestaciones.py)</t>
      </text>
    </comment>
    <comment ref="C106" authorId="0" shapeId="0">
      <text>
        <t>Fuente: ECV (INE, microdatos) (src/m1/f3_prestaciones.py)</t>
      </text>
    </comment>
    <comment ref="D106" authorId="0" shapeId="0">
      <text>
        <t>Fuente: ECV (INE, microdatos) (src/m1/f3_prestaciones.py)</t>
      </text>
    </comment>
    <comment ref="B107" authorId="0" shapeId="0">
      <text>
        <t>Fuente: ECV (INE, microdatos) (src/m1/f3_prestaciones.py)</t>
      </text>
    </comment>
    <comment ref="C107" authorId="0" shapeId="0">
      <text>
        <t>Fuente: ECV (INE, microdatos) (src/m1/f3_prestaciones.py)</t>
      </text>
    </comment>
    <comment ref="D107" authorId="0" shapeId="0">
      <text>
        <t>Fuente: ECV (INE, microdatos) (src/m1/f3_prestaciones.py)</t>
      </text>
    </comment>
    <comment ref="B108" authorId="0" shapeId="0">
      <text>
        <t>Fuente: ECV (INE, microdatos) (src/m1/f3_prestaciones.py)</t>
      </text>
    </comment>
    <comment ref="C108" authorId="0" shapeId="0">
      <text>
        <t>Fuente: ECV (INE, microdatos) (src/m1/f3_prestaciones.py)</t>
      </text>
    </comment>
    <comment ref="D108" authorId="0" shapeId="0">
      <text>
        <t>Fuente: ECV (INE, microdatos) (src/m1/f3_prestaciones.py)</t>
      </text>
    </comment>
    <comment ref="B109" authorId="0" shapeId="0">
      <text>
        <t>Fuente: ECV (INE, microdatos) (src/m1/f3_prestaciones.py)</t>
      </text>
    </comment>
    <comment ref="C109" authorId="0" shapeId="0">
      <text>
        <t>Fuente: ECV (INE, microdatos) (src/m1/f3_prestaciones.py)</t>
      </text>
    </comment>
    <comment ref="D109" authorId="0" shapeId="0">
      <text>
        <t>Fuente: ECV (INE, microdatos) (src/m1/f3_prestaciones.py)</t>
      </text>
    </comment>
    <comment ref="B110" authorId="0" shapeId="0">
      <text>
        <t>Fuente: ECV (INE, microdatos) (src/m1/f3_prestaciones.py)</t>
      </text>
    </comment>
    <comment ref="C110" authorId="0" shapeId="0">
      <text>
        <t>Fuente: ECV (INE, microdatos) (src/m1/f3_prestaciones.py)</t>
      </text>
    </comment>
    <comment ref="D110" authorId="0" shapeId="0">
      <text>
        <t>Fuente: ECV (INE, microdatos) (src/m1/f3_prestaciones.py)</t>
      </text>
    </comment>
    <comment ref="B111" authorId="0" shapeId="0">
      <text>
        <t>Fuente: ECV (INE, microdatos) (src/m1/f3_prestaciones.py)</t>
      </text>
    </comment>
    <comment ref="C111" authorId="0" shapeId="0">
      <text>
        <t>Fuente: ECV (INE, microdatos) (src/m1/f3_prestaciones.py)</t>
      </text>
    </comment>
    <comment ref="D111" authorId="0" shapeId="0">
      <text>
        <t>Fuente: ECV (INE, microdatos) (src/m1/f3_prestaciones.py)</t>
      </text>
    </comment>
    <comment ref="B112" authorId="0" shapeId="0">
      <text>
        <t>Fuente: ECV (INE, microdatos) (src/m1/f3_prestaciones.py)</t>
      </text>
    </comment>
    <comment ref="C112" authorId="0" shapeId="0">
      <text>
        <t>Fuente: ECV (INE, microdatos) (src/m1/f3_prestaciones.py)</t>
      </text>
    </comment>
    <comment ref="D112" authorId="0" shapeId="0">
      <text>
        <t>Fuente: ECV (INE, microdatos) (src/m1/f3_prestaciones.py)</t>
      </text>
    </comment>
    <comment ref="B113" authorId="0" shapeId="0">
      <text>
        <t>Fuente: ECV (INE, microdatos) (src/m1/f3_prestaciones.py)</t>
      </text>
    </comment>
    <comment ref="C113" authorId="0" shapeId="0">
      <text>
        <t>Fuente: ECV (INE, microdatos) (src/m1/f3_prestaciones.py)</t>
      </text>
    </comment>
    <comment ref="D113" authorId="0" shapeId="0">
      <text>
        <t>Fuente: ECV (INE, microdatos) (src/m1/f3_prestaciones.py)</t>
      </text>
    </comment>
    <comment ref="B114" authorId="0" shapeId="0">
      <text>
        <t>Fuente: ECV (INE, microdatos) (src/m1/f3_prestaciones.py)</t>
      </text>
    </comment>
    <comment ref="C114" authorId="0" shapeId="0">
      <text>
        <t>Fuente: ECV (INE, microdatos) (src/m1/f3_prestaciones.py)</t>
      </text>
    </comment>
    <comment ref="D114" authorId="0" shapeId="0">
      <text>
        <t>Fuente: ECV (INE, microdatos) (src/m1/f3_prestaciones.py)</t>
      </text>
    </comment>
    <comment ref="B115" authorId="0" shapeId="0">
      <text>
        <t>Fuente: ECV (INE, microdatos) (src/m1/f3_prestaciones.py)</t>
      </text>
    </comment>
    <comment ref="C115" authorId="0" shapeId="0">
      <text>
        <t>Fuente: ECV (INE, microdatos) (src/m1/f3_prestaciones.py)</t>
      </text>
    </comment>
    <comment ref="D115" authorId="0" shapeId="0">
      <text>
        <t>Fuente: ECV (INE, microdatos) (src/m1/f3_prestaciones.py)</t>
      </text>
    </comment>
    <comment ref="B116" authorId="0" shapeId="0">
      <text>
        <t>Fuente: ECV (INE, microdatos) (src/m1/f3_prestaciones.py)</t>
      </text>
    </comment>
    <comment ref="C116" authorId="0" shapeId="0">
      <text>
        <t>Fuente: ECV (INE, microdatos) (src/m1/f3_prestaciones.py)</t>
      </text>
    </comment>
    <comment ref="D116" authorId="0" shapeId="0">
      <text>
        <t>Fuente: ECV (INE, microdatos) (src/m1/f3_prestaciones.py)</t>
      </text>
    </comment>
    <comment ref="B117" authorId="0" shapeId="0">
      <text>
        <t>Fuente: ECV (INE, microdatos) (src/m1/f3_prestaciones.py)</t>
      </text>
    </comment>
    <comment ref="C117" authorId="0" shapeId="0">
      <text>
        <t>Fuente: ECV (INE, microdatos) (src/m1/f3_prestaciones.py)</t>
      </text>
    </comment>
    <comment ref="D117" authorId="0" shapeId="0">
      <text>
        <t>Fuente: ECV (INE, microdatos) (src/m1/f3_prestaciones.py)</t>
      </text>
    </comment>
    <comment ref="B118" authorId="0" shapeId="0">
      <text>
        <t>Fuente: Encuesta de Estructura Salarial (INE) (src/m1/f3_salarios.py)</t>
      </text>
    </comment>
    <comment ref="C118" authorId="0" shapeId="0">
      <text>
        <t>Fuente: Encuesta de Estructura Salarial (INE) (src/m1/f3_salarios.py)</t>
      </text>
    </comment>
    <comment ref="D118" authorId="0" shapeId="0">
      <text>
        <t>Fuente: Encuesta de Estructura Salarial (INE) (src/m1/f3_salarios.py)</t>
      </text>
    </comment>
    <comment ref="B119" authorId="0" shapeId="0">
      <text>
        <t>Fuente: Encuesta de Estructura Salarial (INE) (src/m1/f3_salarios.py)</t>
      </text>
    </comment>
    <comment ref="C119" authorId="0" shapeId="0">
      <text>
        <t>Fuente: Encuesta de Estructura Salarial (INE) (src/m1/f3_salarios.py)</t>
      </text>
    </comment>
    <comment ref="D119" authorId="0" shapeId="0">
      <text>
        <t>Fuente: Encuesta de Estructura Salarial (INE) (src/m1/f3_salarios.py)</t>
      </text>
    </comment>
    <comment ref="B120" authorId="0" shapeId="0">
      <text>
        <t>Fuente: Encuesta de Estructura Salarial (INE) (src/m1/f3_salarios.py)</t>
      </text>
    </comment>
    <comment ref="C120" authorId="0" shapeId="0">
      <text>
        <t>Fuente: Encuesta de Estructura Salarial (INE) (src/m1/f3_salarios.py)</t>
      </text>
    </comment>
    <comment ref="D120" authorId="0" shapeId="0">
      <text>
        <t>Fuente: Encuesta de Estructura Salarial (INE) (src/m1/f3_salarios.py)</t>
      </text>
    </comment>
    <comment ref="B121" authorId="0" shapeId="0">
      <text>
        <t>Fuente: Encuesta de Estructura Salarial (INE) (src/m1/f3_salarios.py)</t>
      </text>
    </comment>
    <comment ref="C121" authorId="0" shapeId="0">
      <text>
        <t>Fuente: Encuesta de Estructura Salarial (INE) (src/m1/f3_salarios.py)</t>
      </text>
    </comment>
    <comment ref="D121" authorId="0" shapeId="0">
      <text>
        <t>Fuente: Encuesta de Estructura Salarial (INE) (src/m1/f3_salarios.py)</t>
      </text>
    </comment>
    <comment ref="B122" authorId="0" shapeId="0">
      <text>
        <t>Fuente: Encuesta de Estructura Salarial (INE) (src/m1/f3_salarios.py)</t>
      </text>
    </comment>
    <comment ref="C122" authorId="0" shapeId="0">
      <text>
        <t>Fuente: Encuesta de Estructura Salarial (INE) (src/m1/f3_salarios.py)</t>
      </text>
    </comment>
    <comment ref="D122" authorId="0" shapeId="0">
      <text>
        <t>Fuente: Encuesta de Estructura Salarial (INE) (src/m1/f3_salarios.py)</t>
      </text>
    </comment>
    <comment ref="B123" authorId="0" shapeId="0">
      <text>
        <t>Fuente: Encuesta de Estructura Salarial (INE) (src/m1/f3_salarios.py)</t>
      </text>
    </comment>
    <comment ref="C123" authorId="0" shapeId="0">
      <text>
        <t>Fuente: Encuesta de Estructura Salarial (INE) (src/m1/f3_salarios.py)</t>
      </text>
    </comment>
    <comment ref="D123" authorId="0" shapeId="0">
      <text>
        <t>Fuente: Encuesta de Estructura Salarial (INE) (src/m1/f3_salarios.py)</t>
      </text>
    </comment>
    <comment ref="B124" authorId="0" shapeId="0">
      <text>
        <t>Fuente: Encuesta de Estructura Salarial (INE) (src/m1/f3_salarios.py)</t>
      </text>
    </comment>
    <comment ref="C124" authorId="0" shapeId="0">
      <text>
        <t>Fuente: Encuesta de Estructura Salarial (INE) (src/m1/f3_salarios.py)</t>
      </text>
    </comment>
    <comment ref="D124" authorId="0" shapeId="0">
      <text>
        <t>Fuente: Encuesta de Estructura Salarial (INE) (src/m1/f3_salarios.py)</t>
      </text>
    </comment>
    <comment ref="B125" authorId="0" shapeId="0">
      <text>
        <t>Fuente: Encuesta de Estructura Salarial (INE) (src/m1/f3_salarios.py)</t>
      </text>
    </comment>
    <comment ref="C125" authorId="0" shapeId="0">
      <text>
        <t>Fuente: Encuesta de Estructura Salarial (INE) (src/m1/f3_salarios.py)</t>
      </text>
    </comment>
    <comment ref="D125" authorId="0" shapeId="0">
      <text>
        <t>Fuente: Encuesta de Estructura Salarial (INE) (src/m1/f3_salarios.py)</t>
      </text>
    </comment>
    <comment ref="B126" authorId="0" shapeId="0">
      <text>
        <t>Fuente: Encuesta de Estructura Salarial (INE) (src/m1/f3_salarios.py)</t>
      </text>
    </comment>
    <comment ref="C126" authorId="0" shapeId="0">
      <text>
        <t>Fuente: Encuesta de Estructura Salarial (INE) (src/m1/f3_salarios.py)</t>
      </text>
    </comment>
    <comment ref="D126" authorId="0" shapeId="0">
      <text>
        <t>Fuente: Encuesta de Estructura Salarial (INE) (src/m1/f3_salarios.py)</t>
      </text>
    </comment>
    <comment ref="B127" authorId="0" shapeId="0">
      <text>
        <t>Fuente: Encuesta de Estructura Salarial (INE) (src/m1/f3_salarios.py)</t>
      </text>
    </comment>
    <comment ref="C127" authorId="0" shapeId="0">
      <text>
        <t>Fuente: Encuesta de Estructura Salarial (INE) (src/m1/f3_salarios.py)</t>
      </text>
    </comment>
    <comment ref="D127" authorId="0" shapeId="0">
      <text>
        <t>Fuente: Encuesta de Estructura Salarial (INE) (src/m1/f3_salarios.py)</t>
      </text>
    </comment>
    <comment ref="B128" authorId="0" shapeId="0">
      <text>
        <t>Fuente: ECV (INE) (src/m1/f3_salarios.py)</t>
      </text>
    </comment>
    <comment ref="C128" authorId="0" shapeId="0">
      <text>
        <t>Fuente: ECV (INE) (src/m1/f3_salarios.py)</t>
      </text>
    </comment>
    <comment ref="D128" authorId="0" shapeId="0">
      <text>
        <t>Fuente: ECV (INE) (src/m1/f3_salarios.py)</t>
      </text>
    </comment>
    <comment ref="B129" authorId="0" shapeId="0">
      <text>
        <t>Fuente: ECV (INE) (src/m1/f3_salarios.py)</t>
      </text>
    </comment>
    <comment ref="C129" authorId="0" shapeId="0">
      <text>
        <t>Fuente: ECV (INE) (src/m1/f3_salarios.py)</t>
      </text>
    </comment>
    <comment ref="D129" authorId="0" shapeId="0">
      <text>
        <t>Fuente: ECV (INE) (src/m1/f3_salarios.py)</t>
      </text>
    </comment>
    <comment ref="B130" authorId="0" shapeId="0">
      <text>
        <t>Fuente: Encuesta de Estructura Salarial (INE) (src/m1/f3_salarios.py)</t>
      </text>
    </comment>
    <comment ref="C130" authorId="0" shapeId="0">
      <text>
        <t>Fuente: Encuesta de Estructura Salarial (INE) (src/m1/f3_salarios.py)</t>
      </text>
    </comment>
    <comment ref="D130" authorId="0" shapeId="0">
      <text>
        <t>Fuente: Encuesta de Estructura Salarial (INE) (src/m1/f3_salarios.py)</t>
      </text>
    </comment>
    <comment ref="B131" authorId="0" shapeId="0">
      <text>
        <t>Fuente: Padrón (INE) y ECV (INE) (src/m1/f3_vivienda.py)</t>
      </text>
    </comment>
    <comment ref="C131" authorId="0" shapeId="0">
      <text>
        <t>Fuente: Padrón (INE) y ECV (INE) (src/m1/f3_vivienda.py)</t>
      </text>
    </comment>
    <comment ref="D131" authorId="0" shapeId="0">
      <text>
        <t>Fuente: Padrón (INE) y ECV (INE) (src/m1/f3_vivienda.py)</t>
      </text>
    </comment>
    <comment ref="B132" authorId="0" shapeId="0">
      <text>
        <t>Fuente: Padrón (INE) y ECV (INE) (src/m1/f3_vivienda.py)</t>
      </text>
    </comment>
    <comment ref="C132" authorId="0" shapeId="0">
      <text>
        <t>Fuente: Padrón (INE) y ECV (INE) (src/m1/f3_vivienda.py)</t>
      </text>
    </comment>
    <comment ref="D132" authorId="0" shapeId="0">
      <text>
        <t>Fuente: Padrón (INE) y ECV (INE) (src/m1/f3_vivienda.py)</t>
      </text>
    </comment>
    <comment ref="B133" authorId="0" shapeId="0">
      <text>
        <t>Fuente: Eurostat ilc_lvho16 (src/m1/f3_vivienda.py)</t>
      </text>
    </comment>
    <comment ref="C133" authorId="0" shapeId="0">
      <text>
        <t>Fuente: Eurostat ilc_lvho16 (src/m1/f3_vivienda.py)</t>
      </text>
    </comment>
    <comment ref="D133" authorId="0" shapeId="0">
      <text>
        <t>Fuente: Eurostat ilc_lvho16 (src/m1/f3_vivienda.py)</t>
      </text>
    </comment>
    <comment ref="B134" authorId="0" shapeId="0">
      <text>
        <t>Fuente: Eurostat ilc_lvho16 (src/m1/f3_vivienda.py)</t>
      </text>
    </comment>
    <comment ref="C134" authorId="0" shapeId="0">
      <text>
        <t>Fuente: Eurostat ilc_lvho16 (src/m1/f3_vivienda.py)</t>
      </text>
    </comment>
    <comment ref="D134" authorId="0" shapeId="0">
      <text>
        <t>Fuente: Eurostat ilc_lvho16 (src/m1/f3_vivienda.py)</t>
      </text>
    </comment>
    <comment ref="B135" authorId="0" shapeId="0">
      <text>
        <t>Fuente: Eurostat ilc_lvho16 (src/m1/f3_vivienda.py)</t>
      </text>
    </comment>
    <comment ref="C135" authorId="0" shapeId="0">
      <text>
        <t>Fuente: Eurostat ilc_lvho16 (src/m1/f3_vivienda.py)</t>
      </text>
    </comment>
    <comment ref="D135" authorId="0" shapeId="0">
      <text>
        <t>Fuente: Eurostat ilc_lvho16 (src/m1/f3_vivienda.py)</t>
      </text>
    </comment>
    <comment ref="B136" authorId="0" shapeId="0">
      <text>
        <t>Fuente: Eurostat ilc_lvho16 (src/m1/f3_vivienda.py)</t>
      </text>
    </comment>
    <comment ref="C136" authorId="0" shapeId="0">
      <text>
        <t>Fuente: Eurostat ilc_lvho16 (src/m1/f3_vivienda.py)</t>
      </text>
    </comment>
    <comment ref="D136" authorId="0" shapeId="0">
      <text>
        <t>Fuente: Eurostat ilc_lvho16 (src/m1/f3_vivienda.py)</t>
      </text>
    </comment>
    <comment ref="B137" authorId="0" shapeId="0">
      <text>
        <t>Fuente: Eurostat ilc_lvho26 (src/m1/f3_vivienda.py)</t>
      </text>
    </comment>
    <comment ref="C137" authorId="0" shapeId="0">
      <text>
        <t>Fuente: Eurostat ilc_lvho26 (src/m1/f3_vivienda.py)</t>
      </text>
    </comment>
    <comment ref="D137" authorId="0" shapeId="0">
      <text>
        <t>Fuente: Eurostat ilc_lvho26 (src/m1/f3_vivienda.py)</t>
      </text>
    </comment>
    <comment ref="B138" authorId="0" shapeId="0">
      <text>
        <t>Fuente: Eurostat ilc_lvho26 (src/m1/f3_vivienda.py)</t>
      </text>
    </comment>
    <comment ref="C138" authorId="0" shapeId="0">
      <text>
        <t>Fuente: Eurostat ilc_lvho26 (src/m1/f3_vivienda.py)</t>
      </text>
    </comment>
    <comment ref="D138" authorId="0" shapeId="0">
      <text>
        <t>Fuente: Eurostat ilc_lvho26 (src/m1/f3_vivienda.py)</t>
      </text>
    </comment>
    <comment ref="B139" authorId="0" shapeId="0">
      <text>
        <t>Fuente: Eurostat ilc_lvho26 (src/m1/f3_vivienda.py)</t>
      </text>
    </comment>
    <comment ref="C139" authorId="0" shapeId="0">
      <text>
        <t>Fuente: Eurostat ilc_lvho26 (src/m1/f3_vivienda.py)</t>
      </text>
    </comment>
    <comment ref="D139" authorId="0" shapeId="0">
      <text>
        <t>Fuente: Eurostat ilc_lvho26 (src/m1/f3_vivienda.py)</t>
      </text>
    </comment>
    <comment ref="B140" authorId="0" shapeId="0">
      <text>
        <t>Fuente: Eurostat ilc_lvho26 (src/m1/f3_vivienda.py)</t>
      </text>
    </comment>
    <comment ref="C140" authorId="0" shapeId="0">
      <text>
        <t>Fuente: Eurostat ilc_lvho26 (src/m1/f3_vivienda.py)</t>
      </text>
    </comment>
    <comment ref="D140" authorId="0" shapeId="0">
      <text>
        <t>Fuente: Eurostat ilc_lvho26 (src/m1/f3_vivienda.py)</t>
      </text>
    </comment>
    <comment ref="B141" authorId="0" shapeId="0">
      <text>
        <t>Fuente: Eurostat ilc_lvps16 (src/m1/f3_vivienda.py)</t>
      </text>
    </comment>
    <comment ref="C141" authorId="0" shapeId="0">
      <text>
        <t>Fuente: Eurostat ilc_lvps16 (src/m1/f3_vivienda.py)</t>
      </text>
    </comment>
    <comment ref="D141" authorId="0" shapeId="0">
      <text>
        <t>Fuente: Eurostat ilc_lvps16 (src/m1/f3_vivienda.py)</t>
      </text>
    </comment>
    <comment ref="B142" authorId="0" shapeId="0">
      <text>
        <t>Fuente: Eurostat ilc_lvps16 (src/m1/f3_vivienda.py)</t>
      </text>
    </comment>
    <comment ref="C142" authorId="0" shapeId="0">
      <text>
        <t>Fuente: Eurostat ilc_lvps16 (src/m1/f3_vivienda.py)</t>
      </text>
    </comment>
    <comment ref="D142" authorId="0" shapeId="0">
      <text>
        <t>Fuente: Eurostat ilc_lvps16 (src/m1/f3_vivienda.py)</t>
      </text>
    </comment>
    <comment ref="B143" authorId="0" shapeId="0">
      <text>
        <t>Fuente: Eurostat ilc_lvps16 (src/m1/f3_vivienda.py)</t>
      </text>
    </comment>
    <comment ref="C143" authorId="0" shapeId="0">
      <text>
        <t>Fuente: Eurostat ilc_lvps16 (src/m1/f3_vivienda.py)</t>
      </text>
    </comment>
    <comment ref="D143" authorId="0" shapeId="0">
      <text>
        <t>Fuente: Eurostat ilc_lvps16 (src/m1/f3_vivienda.py)</t>
      </text>
    </comment>
    <comment ref="B144" authorId="0" shapeId="0">
      <text>
        <t>Fuente: Eurostat ilc_lvps16 (src/m1/f3_vivienda.py)</t>
      </text>
    </comment>
    <comment ref="C144" authorId="0" shapeId="0">
      <text>
        <t>Fuente: Eurostat ilc_lvps16 (src/m1/f3_vivienda.py)</t>
      </text>
    </comment>
    <comment ref="D144" authorId="0" shapeId="0">
      <text>
        <t>Fuente: Eurostat ilc_lvps16 (src/m1/f3_vivienda.py)</t>
      </text>
    </comment>
    <comment ref="B145" authorId="0" shapeId="0">
      <text>
        <t>Fuente: ECV (INE, microdatos) (src/m1/f3_vivienda.py)</t>
      </text>
    </comment>
    <comment ref="C145" authorId="0" shapeId="0">
      <text>
        <t>Fuente: ECV (INE, microdatos) (src/m1/f3_vivienda.py)</t>
      </text>
    </comment>
    <comment ref="D145" authorId="0" shapeId="0">
      <text>
        <t>Fuente: ECV (INE, microdatos) (src/m1/f3_vivienda.py)</t>
      </text>
    </comment>
    <comment ref="B146" authorId="0" shapeId="0">
      <text>
        <t>Fuente: ECV (INE, microdatos) (src/m1/f3_vivienda.py)</t>
      </text>
    </comment>
    <comment ref="C146" authorId="0" shapeId="0">
      <text>
        <t>Fuente: ECV (INE, microdatos) (src/m1/f3_vivienda.py)</t>
      </text>
    </comment>
    <comment ref="D146" authorId="0" shapeId="0">
      <text>
        <t>Fuente: ECV (INE, microdatos) (src/m1/f3_vivienda.py)</t>
      </text>
    </comment>
    <comment ref="B147" authorId="0" shapeId="0">
      <text>
        <t>Fuente: ECV (INE, microdatos) (src/m1/f3_vivienda.py)</t>
      </text>
    </comment>
    <comment ref="C147" authorId="0" shapeId="0">
      <text>
        <t>Fuente: ECV (INE, microdatos) (src/m1/f3_vivienda.py)</t>
      </text>
    </comment>
    <comment ref="D147" authorId="0" shapeId="0">
      <text>
        <t>Fuente: ECV (INE, microdatos) (src/m1/f3_vivienda.py)</t>
      </text>
    </comment>
    <comment ref="B148" authorId="0" shapeId="0">
      <text>
        <t>Fuente: ECV (INE, microdatos) (src/m1/f3_vivienda.py)</t>
      </text>
    </comment>
    <comment ref="C148" authorId="0" shapeId="0">
      <text>
        <t>Fuente: ECV (INE, microdatos) (src/m1/f3_vivienda.py)</t>
      </text>
    </comment>
    <comment ref="D148" authorId="0" shapeId="0">
      <text>
        <t>Fuente: ECV (INE, microdatos) (src/m1/f3_vivienda.py)</t>
      </text>
    </comment>
    <comment ref="B149" authorId="0" shapeId="0">
      <text>
        <t>Fuente: ECV (INE, microdatos) (src/m1/f3_vivienda.py)</t>
      </text>
    </comment>
    <comment ref="C149" authorId="0" shapeId="0">
      <text>
        <t>Fuente: ECV (INE, microdatos) (src/m1/f3_vivienda.py)</t>
      </text>
    </comment>
    <comment ref="D149" authorId="0" shapeId="0">
      <text>
        <t>Fuente: ECV (INE, microdatos) (src/m1/f3_vivienda.py)</t>
      </text>
    </comment>
    <comment ref="B150" authorId="0" shapeId="0">
      <text>
        <t>Fuente: ECV (INE, microdatos) (src/m1/f3_vivienda.py)</t>
      </text>
    </comment>
    <comment ref="C150" authorId="0" shapeId="0">
      <text>
        <t>Fuente: ECV (INE, microdatos) (src/m1/f3_vivienda.py)</t>
      </text>
    </comment>
    <comment ref="D150" authorId="0" shapeId="0">
      <text>
        <t>Fuente: ECV (INE, microdatos) (src/m1/f3_vivienda.py)</t>
      </text>
    </comment>
    <comment ref="B151" authorId="0" shapeId="0">
      <text>
        <t>Fuente: ECV (INE, microdatos) (src/m1/f3_vivienda.py)</t>
      </text>
    </comment>
    <comment ref="C151" authorId="0" shapeId="0">
      <text>
        <t>Fuente: ECV (INE, microdatos) (src/m1/f3_vivienda.py)</t>
      </text>
    </comment>
    <comment ref="D151" authorId="0" shapeId="0">
      <text>
        <t>Fuente: ECV (INE, microdatos) (src/m1/f3_vivienda.py)</t>
      </text>
    </comment>
    <comment ref="B152" authorId="0" shapeId="0">
      <text>
        <t>Fuente: ECV (INE, microdatos) (src/m1/f3_vivienda.py)</t>
      </text>
    </comment>
    <comment ref="C152" authorId="0" shapeId="0">
      <text>
        <t>Fuente: ECV (INE, microdatos) (src/m1/f3_vivienda.py)</t>
      </text>
    </comment>
    <comment ref="D152" authorId="0" shapeId="0">
      <text>
        <t>Fuente: ECV (INE, microdatos) (src/m1/f3_vivienda.py)</t>
      </text>
    </comment>
    <comment ref="B153" authorId="0" shapeId="0">
      <text>
        <t>Fuente: ECV (INE, microdatos) (src/m1/f3_vivienda.py)</t>
      </text>
    </comment>
    <comment ref="C153" authorId="0" shapeId="0">
      <text>
        <t>Fuente: ECV (INE, microdatos) (src/m1/f3_vivienda.py)</t>
      </text>
    </comment>
    <comment ref="D153" authorId="0" shapeId="0">
      <text>
        <t>Fuente: ECV (INE, microdatos) (src/m1/f3_vivienda.py)</t>
      </text>
    </comment>
    <comment ref="B154" authorId="0" shapeId="0">
      <text>
        <t>Fuente: ECV (INE, microdatos) (src/m1/f3_vivienda.py)</t>
      </text>
    </comment>
    <comment ref="C154" authorId="0" shapeId="0">
      <text>
        <t>Fuente: ECV (INE, microdatos) (src/m1/f3_vivienda.py)</t>
      </text>
    </comment>
    <comment ref="D154" authorId="0" shapeId="0">
      <text>
        <t>Fuente: ECV (INE, microdatos) (src/m1/f3_vivienda.py)</t>
      </text>
    </comment>
    <comment ref="B155" authorId="0" shapeId="0">
      <text>
        <t>Fuente: ECV (INE, microdatos) (src/m1/f3_vivienda.py)</t>
      </text>
    </comment>
    <comment ref="C155" authorId="0" shapeId="0">
      <text>
        <t>Fuente: ECV (INE, microdatos) (src/m1/f3_vivienda.py)</t>
      </text>
    </comment>
    <comment ref="D155" authorId="0" shapeId="0">
      <text>
        <t>Fuente: ECV (INE, microdatos) (src/m1/f3_vivienda.py)</t>
      </text>
    </comment>
    <comment ref="B156" authorId="0" shapeId="0">
      <text>
        <t>Fuente: ECV (INE, microdatos) (src/m1/f3_vivienda.py)</t>
      </text>
    </comment>
    <comment ref="C156" authorId="0" shapeId="0">
      <text>
        <t>Fuente: ECV (INE, microdatos) (src/m1/f3_vivienda.py)</t>
      </text>
    </comment>
    <comment ref="D156" authorId="0" shapeId="0">
      <text>
        <t>Fuente: ECV (INE, microdatos) (src/m1/f3_vivienda.py)</t>
      </text>
    </comment>
    <comment ref="B157" authorId="0" shapeId="0">
      <text>
        <t>Fuente: ECV (INE, microdatos) (src/m1/f3_vivienda.py)</t>
      </text>
    </comment>
    <comment ref="C157" authorId="0" shapeId="0">
      <text>
        <t>Fuente: ECV (INE, microdatos) (src/m1/f3_vivienda.py)</t>
      </text>
    </comment>
    <comment ref="D157" authorId="0" shapeId="0">
      <text>
        <t>Fuente: ECV (INE, microdatos) (src/m1/f3_vivienda.py)</t>
      </text>
    </comment>
    <comment ref="B158" authorId="0" shapeId="0">
      <text>
        <t>Fuente: ECV (INE, microdatos) (src/m1/f3_vivienda.py)</t>
      </text>
    </comment>
    <comment ref="C158" authorId="0" shapeId="0">
      <text>
        <t>Fuente: ECV (INE, microdatos) (src/m1/f3_vivienda.py)</t>
      </text>
    </comment>
    <comment ref="D158" authorId="0" shapeId="0">
      <text>
        <t>Fuente: ECV (INE, microdatos) (src/m1/f3_vivienda.py)</t>
      </text>
    </comment>
    <comment ref="B159" authorId="0" shapeId="0">
      <text>
        <t>Fuente: ECV, EPF, ENSE (INE) y cuentas de las AAPP (Eurostat) (src/m1/f4_fiscal.py)</t>
      </text>
    </comment>
    <comment ref="C159" authorId="0" shapeId="0">
      <text>
        <t>Fuente: ECV, EPF, ENSE (INE) y cuentas de las AAPP (Eurostat) (src/m1/f4_fiscal.py)</t>
      </text>
    </comment>
    <comment ref="D159" authorId="0" shapeId="0">
      <text>
        <t>Fuente: ECV, EPF, ENSE (INE) y cuentas de las AAPP (Eurostat) (src/m1/f4_fiscal.py)</t>
      </text>
    </comment>
    <comment ref="B160" authorId="0" shapeId="0">
      <text>
        <t>Fuente: ECV, EPF, ENSE y cuentas de las AAPP (src/m1/f4_fiscal.py)</t>
      </text>
    </comment>
    <comment ref="C160" authorId="0" shapeId="0">
      <text>
        <t>Fuente: ECV, EPF, ENSE y cuentas de las AAPP (src/m1/f4_fiscal.py)</t>
      </text>
    </comment>
    <comment ref="D160" authorId="0" shapeId="0">
      <text>
        <t>Fuente: ECV, EPF, ENSE y cuentas de las AAPP (src/m1/f4_fiscal.py)</t>
      </text>
    </comment>
    <comment ref="B161" authorId="0" shapeId="0">
      <text>
        <t>Fuente: ECV, EPF, ENSE y cuentas de las AAPP (src/m1/f4_fiscal.py)</t>
      </text>
    </comment>
    <comment ref="C161" authorId="0" shapeId="0">
      <text>
        <t>Fuente: ECV, EPF, ENSE y cuentas de las AAPP (src/m1/f4_fiscal.py)</t>
      </text>
    </comment>
    <comment ref="D161" authorId="0" shapeId="0">
      <text>
        <t>Fuente: ECV, EPF, ENSE y cuentas de las AAPP (src/m1/f4_fiscal.py)</t>
      </text>
    </comment>
    <comment ref="B162" authorId="0" shapeId="0">
      <text>
        <t>Fuente: ECV, EPF, ENSE y cuentas de las AAPP (src/m1/f4_fiscal.py)</t>
      </text>
    </comment>
    <comment ref="C162" authorId="0" shapeId="0">
      <text>
        <t>Fuente: ECV, EPF, ENSE y cuentas de las AAPP (src/m1/f4_fiscal.py)</t>
      </text>
    </comment>
    <comment ref="D162" authorId="0" shapeId="0">
      <text>
        <t>Fuente: ECV, EPF, ENSE y cuentas de las AAPP (src/m1/f4_fiscal.py)</t>
      </text>
    </comment>
    <comment ref="B163" authorId="0" shapeId="0">
      <text>
        <t>Fuente: ECV, EPF, ENSE (INE) y cuentas de las AAPP (Eurostat) (src/m1/f4_fiscal.py)</t>
      </text>
    </comment>
    <comment ref="C163" authorId="0" shapeId="0">
      <text>
        <t>Fuente: ECV, EPF, ENSE (INE) y cuentas de las AAPP (Eurostat) (src/m1/f4_fiscal.py)</t>
      </text>
    </comment>
    <comment ref="D163" authorId="0" shapeId="0">
      <text>
        <t>Fuente: ECV, EPF, ENSE (INE) y cuentas de las AAPP (Eurostat) (src/m1/f4_fiscal.py)</t>
      </text>
    </comment>
    <comment ref="B164" authorId="0" shapeId="0">
      <text>
        <t>Fuente: ECV, EPF, ENSE (INE) y cuentas de las AAPP (Eurostat) (src/m1/f4_fiscal.py)</t>
      </text>
    </comment>
    <comment ref="C164" authorId="0" shapeId="0">
      <text>
        <t>Fuente: ECV, EPF, ENSE (INE) y cuentas de las AAPP (Eurostat) (src/m1/f4_fiscal.py)</t>
      </text>
    </comment>
    <comment ref="D164" authorId="0" shapeId="0">
      <text>
        <t>Fuente: ECV, EPF, ENSE (INE) y cuentas de las AAPP (Eurostat) (src/m1/f4_fiscal.py)</t>
      </text>
    </comment>
    <comment ref="B165" authorId="0" shapeId="0">
      <text>
        <t>Fuente: ECV y cuentas de las AAPP (src/m1/f4_fiscal.py)</t>
      </text>
    </comment>
    <comment ref="C165" authorId="0" shapeId="0">
      <text>
        <t>Fuente: ECV y cuentas de las AAPP (src/m1/f4_fiscal.py)</t>
      </text>
    </comment>
    <comment ref="D165" authorId="0" shapeId="0">
      <text>
        <t>Fuente: ECV y cuentas de las AAPP (src/m1/f4_fiscal.py)</t>
      </text>
    </comment>
    <comment ref="B166" authorId="0" shapeId="0">
      <text>
        <t>Fuente: ECV y cuentas de las AAPP (src/m1/f4_fiscal.py)</t>
      </text>
    </comment>
    <comment ref="C166" authorId="0" shapeId="0">
      <text>
        <t>Fuente: ECV y cuentas de las AAPP (src/m1/f4_fiscal.py)</t>
      </text>
    </comment>
    <comment ref="D166" authorId="0" shapeId="0">
      <text>
        <t>Fuente: ECV y cuentas de las AAPP (src/m1/f4_fiscal.py)</t>
      </text>
    </comment>
    <comment ref="B167" authorId="0" shapeId="0">
      <text>
        <t>Fuente: ECV y cuentas de las AAPP (src/m1/f4_fiscal.py)</t>
      </text>
    </comment>
    <comment ref="C167" authorId="0" shapeId="0">
      <text>
        <t>Fuente: ECV y cuentas de las AAPP (src/m1/f4_fiscal.py)</t>
      </text>
    </comment>
    <comment ref="D167" authorId="0" shapeId="0">
      <text>
        <t>Fuente: ECV y cuentas de las AAPP (src/m1/f4_fiscal.py)</t>
      </text>
    </comment>
    <comment ref="B168" authorId="0" shapeId="0">
      <text>
        <t>Fuente: Comisión Europea, Ageing Report 2024 (src/m1/f4_pensiones.py)</t>
      </text>
    </comment>
    <comment ref="C168" authorId="0" shapeId="0">
      <text>
        <t>Fuente: Comisión Europea, Ageing Report 2024 (src/m1/f4_pensiones.py)</t>
      </text>
    </comment>
    <comment ref="D168" authorId="0" shapeId="0">
      <text>
        <t>Fuente: Comisión Europea, Ageing Report 2024 (src/m1/f4_pensiones.py)</t>
      </text>
    </comment>
    <comment ref="B169" authorId="0" shapeId="0">
      <text>
        <t>Fuente: Comisión Europea, Ageing Report 2024 (src/m1/f4_pensiones.py)</t>
      </text>
    </comment>
    <comment ref="C169" authorId="0" shapeId="0">
      <text>
        <t>Fuente: Comisión Europea, Ageing Report 2024 (src/m1/f4_pensiones.py)</t>
      </text>
    </comment>
    <comment ref="D169" authorId="0" shapeId="0">
      <text>
        <t>Fuente: Comisión Europea, Ageing Report 2024 (src/m1/f4_pensiones.py)</t>
      </text>
    </comment>
    <comment ref="B170" authorId="0" shapeId="0">
      <text>
        <t>Fuente: Comisión Europea, Ageing Report 2024 (src/m1/f4_pensiones.py)</t>
      </text>
    </comment>
    <comment ref="C170" authorId="0" shapeId="0">
      <text>
        <t>Fuente: Comisión Europea, Ageing Report 2024 (src/m1/f4_pensiones.py)</t>
      </text>
    </comment>
    <comment ref="D170" authorId="0" shapeId="0">
      <text>
        <t>Fuente: Comisión Europea, Ageing Report 2024 (src/m1/f4_pensiones.py)</t>
      </text>
    </comment>
    <comment ref="B171" authorId="0" shapeId="0">
      <text>
        <t>Fuente: Eurostat proj_23np (src/m1/f4_pensiones.py)</t>
      </text>
    </comment>
    <comment ref="C171" authorId="0" shapeId="0">
      <text>
        <t>Fuente: Eurostat proj_23np (src/m1/f4_pensiones.py)</t>
      </text>
    </comment>
    <comment ref="D171" authorId="0" shapeId="0">
      <text>
        <t>Fuente: Eurostat proj_23np (src/m1/f4_pensiones.py)</t>
      </text>
    </comment>
    <comment ref="B172" authorId="0" shapeId="0">
      <text>
        <t>Fuente: Eurostat proj_23np (src/m1/f4_pensiones.py)</t>
      </text>
    </comment>
    <comment ref="C172" authorId="0" shapeId="0">
      <text>
        <t>Fuente: Eurostat proj_23np (src/m1/f4_pensiones.py)</t>
      </text>
    </comment>
    <comment ref="D172" authorId="0" shapeId="0">
      <text>
        <t>Fuente: Eurostat proj_23np (src/m1/f4_pensiones.py)</t>
      </text>
    </comment>
    <comment ref="B173" authorId="0" shapeId="0">
      <text>
        <t>Fuente: Eurostat proj_23np (src/m1/f4_pensiones.py)</t>
      </text>
    </comment>
    <comment ref="C173" authorId="0" shapeId="0">
      <text>
        <t>Fuente: Eurostat proj_23np (src/m1/f4_pensiones.py)</t>
      </text>
    </comment>
    <comment ref="D173" authorId="0" shapeId="0">
      <text>
        <t>Fuente: Eurostat proj_23np (src/m1/f4_pensiones.py)</t>
      </text>
    </comment>
    <comment ref="B174" authorId="0" shapeId="0">
      <text>
        <t>Fuente: Eurostat proj_23np (src/m1/f4_pensiones.py)</t>
      </text>
    </comment>
    <comment ref="C174" authorId="0" shapeId="0">
      <text>
        <t>Fuente: Eurostat proj_23np (src/m1/f4_pensiones.py)</t>
      </text>
    </comment>
    <comment ref="D174" authorId="0" shapeId="0">
      <text>
        <t>Fuente: Eurostat proj_23np (src/m1/f4_pensiones.py)</t>
      </text>
    </comment>
    <comment ref="B175" authorId="0" shapeId="0">
      <text>
        <t>Fuente: Eurostat proj_23np (src/m1/f4_pensiones.py)</t>
      </text>
    </comment>
    <comment ref="C175" authorId="0" shapeId="0">
      <text>
        <t>Fuente: Eurostat proj_23np (src/m1/f4_pensiones.py)</t>
      </text>
    </comment>
    <comment ref="D175" authorId="0" shapeId="0">
      <text>
        <t>Fuente: Eurostat proj_23np (src/m1/f4_pensiones.py)</t>
      </text>
    </comment>
    <comment ref="B176" authorId="0" shapeId="0">
      <text>
        <t>Fuente: Eurostat proj_23np (src/m1/f4_pensiones.py)</t>
      </text>
    </comment>
    <comment ref="C176" authorId="0" shapeId="0">
      <text>
        <t>Fuente: Eurostat proj_23np (src/m1/f4_pensiones.py)</t>
      </text>
    </comment>
    <comment ref="D176" authorId="0" shapeId="0">
      <text>
        <t>Fuente: Eurostat proj_23np (src/m1/f4_pensiones.py)</t>
      </text>
    </comment>
    <comment ref="B177" authorId="0" shapeId="0">
      <text>
        <t>Fuente: Eurostat proj_23np (src/m1/f4_pensiones.py)</t>
      </text>
    </comment>
    <comment ref="C177" authorId="0" shapeId="0">
      <text>
        <t>Fuente: Eurostat proj_23np (src/m1/f4_pensiones.py)</t>
      </text>
    </comment>
    <comment ref="D177" authorId="0" shapeId="0">
      <text>
        <t>Fuente: Eurostat proj_23np (src/m1/f4_pensiones.py)</t>
      </text>
    </comment>
    <comment ref="B178" authorId="0" shapeId="0">
      <text>
        <t>Fuente: Eurostat proj_23np (src/m1/f4_pensiones.py)</t>
      </text>
    </comment>
    <comment ref="C178" authorId="0" shapeId="0">
      <text>
        <t>Fuente: Eurostat proj_23np (src/m1/f4_pensiones.py)</t>
      </text>
    </comment>
    <comment ref="D178" authorId="0" shapeId="0">
      <text>
        <t>Fuente: Eurostat proj_23np (src/m1/f4_pensiones.py)</t>
      </text>
    </comment>
    <comment ref="B179" authorId="0" shapeId="0">
      <text>
        <t>Fuente: Eurostat proj_23np (src/m1/f4_pensiones.py)</t>
      </text>
    </comment>
    <comment ref="C179" authorId="0" shapeId="0">
      <text>
        <t>Fuente: Eurostat proj_23np (src/m1/f4_pensiones.py)</t>
      </text>
    </comment>
    <comment ref="D179" authorId="0" shapeId="0">
      <text>
        <t>Fuente: Eurostat proj_23np (src/m1/f4_pensiones.py)</t>
      </text>
    </comment>
    <comment ref="B180" authorId="0" shapeId="0">
      <text>
        <t>Fuente: Eurostat proj_23np y gov_10a_exp (src/m1/f4_pensiones.py)</t>
      </text>
    </comment>
    <comment ref="C180" authorId="0" shapeId="0">
      <text>
        <t>Fuente: Eurostat proj_23np y gov_10a_exp (src/m1/f4_pensiones.py)</t>
      </text>
    </comment>
    <comment ref="D180" authorId="0" shapeId="0">
      <text>
        <t>Fuente: Eurostat proj_23np y gov_10a_exp (src/m1/f4_pensiones.py)</t>
      </text>
    </comment>
    <comment ref="B181" authorId="0" shapeId="0">
      <text>
        <t>Fuente: Eurostat proj_23np y gov_10a_exp (src/m1/f4_pensiones.py)</t>
      </text>
    </comment>
    <comment ref="C181" authorId="0" shapeId="0">
      <text>
        <t>Fuente: Eurostat proj_23np y gov_10a_exp (src/m1/f4_pensiones.py)</t>
      </text>
    </comment>
    <comment ref="D181" authorId="0" shapeId="0">
      <text>
        <t>Fuente: Eurostat proj_23np y gov_10a_exp (src/m1/f4_pensiones.py)</t>
      </text>
    </comment>
    <comment ref="B182" authorId="0" shapeId="0">
      <text>
        <t>Fuente: Eurostat proj_23np y gov_10a_exp (src/m1/f4_pensiones.py)</t>
      </text>
    </comment>
    <comment ref="C182" authorId="0" shapeId="0">
      <text>
        <t>Fuente: Eurostat proj_23np y gov_10a_exp (src/m1/f4_pensiones.py)</t>
      </text>
    </comment>
    <comment ref="D182" authorId="0" shapeId="0">
      <text>
        <t>Fuente: Eurostat proj_23np y gov_10a_exp (src/m1/f4_pensiones.py)</t>
      </text>
    </comment>
    <comment ref="B183" authorId="0" shapeId="0">
      <text>
        <t>Fuente: Eurostat proj_23np y gov_10a_exp (src/m1/f4_pensiones.py)</t>
      </text>
    </comment>
    <comment ref="C183" authorId="0" shapeId="0">
      <text>
        <t>Fuente: Eurostat proj_23np y gov_10a_exp (src/m1/f4_pensiones.py)</t>
      </text>
    </comment>
    <comment ref="D183" authorId="0" shapeId="0">
      <text>
        <t>Fuente: Eurostat proj_23np y gov_10a_exp (src/m1/f4_pensiones.py)</t>
      </text>
    </comment>
    <comment ref="B184" authorId="0" shapeId="0">
      <text>
        <t>Fuente: Eurostat proj_23np y gov_10a_exp (src/m1/f4_pensiones.py)</t>
      </text>
    </comment>
    <comment ref="C184" authorId="0" shapeId="0">
      <text>
        <t>Fuente: Eurostat proj_23np y gov_10a_exp (src/m1/f4_pensiones.py)</t>
      </text>
    </comment>
    <comment ref="D184" authorId="0" shapeId="0">
      <text>
        <t>Fuente: Eurostat proj_23np y gov_10a_exp (src/m1/f4_pensiones.py)</t>
      </text>
    </comment>
    <comment ref="B185" authorId="0" shapeId="0">
      <text>
        <t>Fuente: Eurostat proj_23np y gov_10a_exp (src/m1/f4_pensiones.py)</t>
      </text>
    </comment>
    <comment ref="C185" authorId="0" shapeId="0">
      <text>
        <t>Fuente: Eurostat proj_23np y gov_10a_exp (src/m1/f4_pensiones.py)</t>
      </text>
    </comment>
    <comment ref="D185" authorId="0" shapeId="0">
      <text>
        <t>Fuente: Eurostat proj_23np y gov_10a_exp (src/m1/f4_pensiones.py)</t>
      </text>
    </comment>
    <comment ref="B186" authorId="0" shapeId="0">
      <text>
        <t>Fuente: Eurostat proj_23np y gov_10a_exp (src/m1/f4_pensiones.py)</t>
      </text>
    </comment>
    <comment ref="C186" authorId="0" shapeId="0">
      <text>
        <t>Fuente: Eurostat proj_23np y gov_10a_exp (src/m1/f4_pensiones.py)</t>
      </text>
    </comment>
    <comment ref="D186" authorId="0" shapeId="0">
      <text>
        <t>Fuente: Eurostat proj_23np y gov_10a_exp (src/m1/f4_pensiones.py)</t>
      </text>
    </comment>
    <comment ref="B187" authorId="0" shapeId="0">
      <text>
        <t>Fuente: Eurostat proj_23np y gov_10a_exp (src/m1/f4_pensiones.py)</t>
      </text>
    </comment>
    <comment ref="C187" authorId="0" shapeId="0">
      <text>
        <t>Fuente: Eurostat proj_23np y gov_10a_exp (src/m1/f4_pensiones.py)</t>
      </text>
    </comment>
    <comment ref="D187" authorId="0" shapeId="0">
      <text>
        <t>Fuente: Eurostat proj_23np y gov_10a_exp (src/m1/f4_pensiones.py)</t>
      </text>
    </comment>
    <comment ref="B188" authorId="0" shapeId="0">
      <text>
        <t>Fuente: Eurostat gov_10a_exp (src/m1/f4_pensiones.py)</t>
      </text>
    </comment>
    <comment ref="C188" authorId="0" shapeId="0">
      <text>
        <t>Fuente: Eurostat gov_10a_exp (src/m1/f4_pensiones.py)</t>
      </text>
    </comment>
    <comment ref="D188" authorId="0" shapeId="0">
      <text>
        <t>Fuente: Eurostat gov_10a_exp (src/m1/f4_pensiones.py)</t>
      </text>
    </comment>
    <comment ref="B189" authorId="0" shapeId="0">
      <text>
        <t>Fuente: Estadística de Migraciones y padrón (INE) (src/m1/f4_ciclo_vital.py)</t>
      </text>
    </comment>
    <comment ref="C189" authorId="0" shapeId="0">
      <text>
        <t>Fuente: Estadística de Migraciones y padrón (INE) (src/m1/f4_ciclo_vital.py)</t>
      </text>
    </comment>
    <comment ref="D189" authorId="0" shapeId="0">
      <text>
        <t>Fuente: Estadística de Migraciones y padrón (INE) (src/m1/f4_ciclo_vital.py)</t>
      </text>
    </comment>
    <comment ref="B190" authorId="0" shapeId="0">
      <text>
        <t>Fuente: Perfiles M1 (src/m1/f4_ciclo_vital.py)</t>
      </text>
    </comment>
    <comment ref="C190" authorId="0" shapeId="0">
      <text>
        <t>Fuente: Perfiles M1 (src/m1/f4_ciclo_vital.py)</t>
      </text>
    </comment>
    <comment ref="D190" authorId="0" shapeId="0">
      <text>
        <t>Fuente: Perfiles M1 (src/m1/f4_ciclo_vital.py)</t>
      </text>
    </comment>
    <comment ref="B191" authorId="0" shapeId="0">
      <text>
        <t>Fuente: Perfiles M1 (src/m1/f4_ciclo_vital.py)</t>
      </text>
    </comment>
    <comment ref="C191" authorId="0" shapeId="0">
      <text>
        <t>Fuente: Perfiles M1 (src/m1/f4_ciclo_vital.py)</t>
      </text>
    </comment>
    <comment ref="D191" authorId="0" shapeId="0">
      <text>
        <t>Fuente: Perfiles M1 (src/m1/f4_ciclo_vital.py)</t>
      </text>
    </comment>
    <comment ref="B192" authorId="0" shapeId="0">
      <text>
        <t>Fuente: Perfiles M1 (src/m1/f4_ciclo_vital.py)</t>
      </text>
    </comment>
    <comment ref="C192" authorId="0" shapeId="0">
      <text>
        <t>Fuente: Perfiles M1 (src/m1/f4_ciclo_vital.py)</t>
      </text>
    </comment>
    <comment ref="D192" authorId="0" shapeId="0">
      <text>
        <t>Fuente: Perfiles M1 (src/m1/f4_ciclo_vital.py)</t>
      </text>
    </comment>
    <comment ref="B193" authorId="0" shapeId="0">
      <text>
        <t>Fuente: Perfiles M1 (src/m1/f4_ciclo_vital.py)</t>
      </text>
    </comment>
    <comment ref="C193" authorId="0" shapeId="0">
      <text>
        <t>Fuente: Perfiles M1 (src/m1/f4_ciclo_vital.py)</t>
      </text>
    </comment>
    <comment ref="D193" authorId="0" shapeId="0">
      <text>
        <t>Fuente: Perfiles M1 (src/m1/f4_ciclo_vital.py)</t>
      </text>
    </comment>
    <comment ref="B194" authorId="0" shapeId="0">
      <text>
        <t>Fuente: Perfiles M1 (src/m1/f4_ciclo_vital.py)</t>
      </text>
    </comment>
    <comment ref="C194" authorId="0" shapeId="0">
      <text>
        <t>Fuente: Perfiles M1 (src/m1/f4_ciclo_vital.py)</t>
      </text>
    </comment>
    <comment ref="D194" authorId="0" shapeId="0">
      <text>
        <t>Fuente: Perfiles M1 (src/m1/f4_ciclo_vital.py)</t>
      </text>
    </comment>
    <comment ref="B195" authorId="0" shapeId="0">
      <text>
        <t>Fuente: Perfiles M1 (src/m1/f4_ciclo_vital.py)</t>
      </text>
    </comment>
    <comment ref="C195" authorId="0" shapeId="0">
      <text>
        <t>Fuente: Perfiles M1 (src/m1/f4_ciclo_vital.py)</t>
      </text>
    </comment>
    <comment ref="D195" authorId="0" shapeId="0">
      <text>
        <t>Fuente: Perfiles M1 (src/m1/f4_ciclo_vital.py)</t>
      </text>
    </comment>
    <comment ref="B196" authorId="0" shapeId="0">
      <text>
        <t>Fuente: Perfiles M1 (src/m1/f4_ciclo_vital.py)</t>
      </text>
    </comment>
    <comment ref="C196" authorId="0" shapeId="0">
      <text>
        <t>Fuente: Perfiles M1 (src/m1/f4_ciclo_vital.py)</t>
      </text>
    </comment>
    <comment ref="D196" authorId="0" shapeId="0">
      <text>
        <t>Fuente: Perfiles M1 (src/m1/f4_ciclo_vital.py)</t>
      </text>
    </comment>
    <comment ref="B197" authorId="0" shapeId="0">
      <text>
        <t>Fuente: Perfiles M1 (src/m1/f4_ciclo_vital.py)</t>
      </text>
    </comment>
    <comment ref="C197" authorId="0" shapeId="0">
      <text>
        <t>Fuente: Perfiles M1 (src/m1/f4_ciclo_vital.py)</t>
      </text>
    </comment>
    <comment ref="D197" authorId="0" shapeId="0">
      <text>
        <t>Fuente: Perfiles M1 (src/m1/f4_ciclo_vital.py)</t>
      </text>
    </comment>
    <comment ref="B198" authorId="0" shapeId="0">
      <text>
        <t>Fuente: Perfiles M1 (src/m1/f4_ciclo_vital.py)</t>
      </text>
    </comment>
    <comment ref="C198" authorId="0" shapeId="0">
      <text>
        <t>Fuente: Perfiles M1 (src/m1/f4_ciclo_vital.py)</t>
      </text>
    </comment>
    <comment ref="D198" authorId="0" shapeId="0">
      <text>
        <t>Fuente: Perfiles M1 (src/m1/f4_ciclo_vital.py)</t>
      </text>
    </comment>
    <comment ref="B199" authorId="0" shapeId="0">
      <text>
        <t>Fuente: Perfiles M1 (src/m1/f4_ciclo_vital.py)</t>
      </text>
    </comment>
    <comment ref="C199" authorId="0" shapeId="0">
      <text>
        <t>Fuente: Perfiles M1 (src/m1/f4_ciclo_vital.py)</t>
      </text>
    </comment>
    <comment ref="D199" authorId="0" shapeId="0">
      <text>
        <t>Fuente: Perfiles M1 (src/m1/f4_ciclo_vital.py)</t>
      </text>
    </comment>
    <comment ref="B200" authorId="0" shapeId="0">
      <text>
        <t>Fuente: Perfiles M1 (src/m1/f4_ciclo_vital.py)</t>
      </text>
    </comment>
    <comment ref="C200" authorId="0" shapeId="0">
      <text>
        <t>Fuente: Perfiles M1 (src/m1/f4_ciclo_vital.py)</t>
      </text>
    </comment>
    <comment ref="D200" authorId="0" shapeId="0">
      <text>
        <t>Fuente: Perfiles M1 (src/m1/f4_ciclo_vital.py)</t>
      </text>
    </comment>
    <comment ref="B201" authorId="0" shapeId="0">
      <text>
        <t>Fuente: Perfiles M1 (src/m1/f4_ciclo_vital.py)</t>
      </text>
    </comment>
    <comment ref="C201" authorId="0" shapeId="0">
      <text>
        <t>Fuente: Perfiles M1 (src/m1/f4_ciclo_vital.py)</t>
      </text>
    </comment>
    <comment ref="D201" authorId="0" shapeId="0">
      <text>
        <t>Fuente: Perfiles M1 (src/m1/f4_ciclo_vital.py)</t>
      </text>
    </comment>
    <comment ref="B202" authorId="0" shapeId="0">
      <text>
        <t>Fuente: Perfiles M1 (src/m1/f4_ciclo_vital.py)</t>
      </text>
    </comment>
    <comment ref="C202" authorId="0" shapeId="0">
      <text>
        <t>Fuente: Perfiles M1 (src/m1/f4_ciclo_vital.py)</t>
      </text>
    </comment>
    <comment ref="D202" authorId="0" shapeId="0">
      <text>
        <t>Fuente: Perfiles M1 (src/m1/f4_ciclo_vital.py)</t>
      </text>
    </comment>
    <comment ref="B203" authorId="0" shapeId="0">
      <text>
        <t>Fuente: Perfiles M1 (src/m1/f4_ciclo_vital.py)</t>
      </text>
    </comment>
    <comment ref="C203" authorId="0" shapeId="0">
      <text>
        <t>Fuente: Perfiles M1 (src/m1/f4_ciclo_vital.py)</t>
      </text>
    </comment>
    <comment ref="D203" authorId="0" shapeId="0">
      <text>
        <t>Fuente: Perfiles M1 (src/m1/f4_ciclo_vital.py)</t>
      </text>
    </comment>
    <comment ref="B204" authorId="0" shapeId="0">
      <text>
        <t>Fuente: Perfiles M1 (src/m1/f4_ciclo_vital.py)</t>
      </text>
    </comment>
    <comment ref="C204" authorId="0" shapeId="0">
      <text>
        <t>Fuente: Perfiles M1 (src/m1/f4_ciclo_vital.py)</t>
      </text>
    </comment>
    <comment ref="D204" authorId="0" shapeId="0">
      <text>
        <t>Fuente: Perfiles M1 (src/m1/f4_ciclo_vital.py)</t>
      </text>
    </comment>
    <comment ref="B205" authorId="0" shapeId="0">
      <text>
        <t>Fuente: Perfiles M1 (src/m1/f4_ciclo_vital.py)</t>
      </text>
    </comment>
    <comment ref="C205" authorId="0" shapeId="0">
      <text>
        <t>Fuente: Perfiles M1 (src/m1/f4_ciclo_vital.py)</t>
      </text>
    </comment>
    <comment ref="D205" authorId="0" shapeId="0">
      <text>
        <t>Fuente: Perfiles M1 (src/m1/f4_ciclo_vital.py)</t>
      </text>
    </comment>
    <comment ref="B206" authorId="0" shapeId="0">
      <text>
        <t>Fuente: Perfiles M1 (ECV, EPF, ENSE, cuentas AAPP) y Eurostat (src/m1/f4_ciclo_vital.py)</t>
      </text>
    </comment>
    <comment ref="C206" authorId="0" shapeId="0">
      <text>
        <t>Fuente: Perfiles M1 (ECV, EPF, ENSE, cuentas AAPP) y Eurostat (src/m1/f4_ciclo_vital.py)</t>
      </text>
    </comment>
    <comment ref="D206" authorId="0" shapeId="0">
      <text>
        <t>Fuente: Perfiles M1 (ECV, EPF, ENSE, cuentas AAPP) y Eurostat (src/m1/f4_ciclo_vital.py)</t>
      </text>
    </comment>
    <comment ref="B207" authorId="0" shapeId="0">
      <text>
        <t>Fuente: Perfiles M1 (ECV, EPF, ENSE, cuentas AAPP) y Eurostat (src/m1/f4_ciclo_vital.py)</t>
      </text>
    </comment>
    <comment ref="C207" authorId="0" shapeId="0">
      <text>
        <t>Fuente: Perfiles M1 (ECV, EPF, ENSE, cuentas AAPP) y Eurostat (src/m1/f4_ciclo_vital.py)</t>
      </text>
    </comment>
    <comment ref="D207" authorId="0" shapeId="0">
      <text>
        <t>Fuente: Perfiles M1 (ECV, EPF, ENSE, cuentas AAPP) y Eurostat (src/m1/f4_ciclo_vital.py)</t>
      </text>
    </comment>
    <comment ref="B208" authorId="0" shapeId="0">
      <text>
        <t>Fuente: Perfiles M1 (ECV, EPF, ENSE, cuentas AAPP) y Eurostat (src/m1/f4_ciclo_vital.py)</t>
      </text>
    </comment>
    <comment ref="C208" authorId="0" shapeId="0">
      <text>
        <t>Fuente: Perfiles M1 (ECV, EPF, ENSE, cuentas AAPP) y Eurostat (src/m1/f4_ciclo_vital.py)</t>
      </text>
    </comment>
    <comment ref="D208" authorId="0" shapeId="0">
      <text>
        <t>Fuente: Perfiles M1 (ECV, EPF, ENSE, cuentas AAPP) y Eurostat (src/m1/f4_ciclo_vital.py)</t>
      </text>
    </comment>
    <comment ref="B209" authorId="0" shapeId="0">
      <text>
        <t>Fuente: Perfiles M1 (ECV, EPF, ENSE, cuentas AAPP) y Eurostat (src/m1/f4_ciclo_vital.py)</t>
      </text>
    </comment>
    <comment ref="C209" authorId="0" shapeId="0">
      <text>
        <t>Fuente: Perfiles M1 (ECV, EPF, ENSE, cuentas AAPP) y Eurostat (src/m1/f4_ciclo_vital.py)</t>
      </text>
    </comment>
    <comment ref="D209" authorId="0" shapeId="0">
      <text>
        <t>Fuente: Perfiles M1 (ECV, EPF, ENSE, cuentas AAPP) y Eurostat (src/m1/f4_ciclo_vital.py)</t>
      </text>
    </comment>
    <comment ref="B210" authorId="0" shapeId="0">
      <text>
        <t>Fuente: Perfiles M1 (ECV, EPF, ENSE, cuentas AAPP) y Eurostat (src/m1/f4_ciclo_vital.py)</t>
      </text>
    </comment>
    <comment ref="C210" authorId="0" shapeId="0">
      <text>
        <t>Fuente: Perfiles M1 (ECV, EPF, ENSE, cuentas AAPP) y Eurostat (src/m1/f4_ciclo_vital.py)</t>
      </text>
    </comment>
    <comment ref="D210" authorId="0" shapeId="0">
      <text>
        <t>Fuente: Perfiles M1 (ECV, EPF, ENSE, cuentas AAPP) y Eurostat (src/m1/f4_ciclo_vital.py)</t>
      </text>
    </comment>
    <comment ref="B211" authorId="0" shapeId="0">
      <text>
        <t>Fuente: Perfiles M1 (ECV, EPF, ENSE, cuentas AAPP) y Eurostat (src/m1/f4_ciclo_vital.py)</t>
      </text>
    </comment>
    <comment ref="C211" authorId="0" shapeId="0">
      <text>
        <t>Fuente: Perfiles M1 (ECV, EPF, ENSE, cuentas AAPP) y Eurostat (src/m1/f4_ciclo_vital.py)</t>
      </text>
    </comment>
    <comment ref="D211" authorId="0" shapeId="0">
      <text>
        <t>Fuente: Perfiles M1 (ECV, EPF, ENSE, cuentas AAPP) y Eurostat (src/m1/f4_ciclo_vital.py)</t>
      </text>
    </comment>
    <comment ref="B212" authorId="0" shapeId="0">
      <text>
        <t>Fuente: ECV (INE) y Eurostat COFOG (src/m1/f6_afirmaciones.py)</t>
      </text>
    </comment>
    <comment ref="C212" authorId="0" shapeId="0">
      <text>
        <t>Fuente: ECV (INE) y Eurostat COFOG (src/m1/f6_afirmaciones.py)</t>
      </text>
    </comment>
    <comment ref="D212" authorId="0" shapeId="0">
      <text>
        <t>Fuente: ECV (INE) y Eurostat COFOG (src/m1/f6_afirmaciones.py)</t>
      </text>
    </comment>
    <comment ref="B213" authorId="0" shapeId="0">
      <text>
        <t>Fuente: ECV (INE) y Eurostat COFOG (src/m1/f6_afirmaciones.py)</t>
      </text>
    </comment>
    <comment ref="C213" authorId="0" shapeId="0">
      <text>
        <t>Fuente: ECV (INE) y Eurostat COFOG (src/m1/f6_afirmaciones.py)</t>
      </text>
    </comment>
    <comment ref="D213" authorId="0" shapeId="0">
      <text>
        <t>Fuente: ECV (INE) y Eurostat COFOG (src/m1/f6_afirmaciones.py)</t>
      </text>
    </comment>
    <comment ref="B214" authorId="0" shapeId="0">
      <text>
        <t>Fuente: ECV (INE) y Eurostat COFOG (src/m1/f6_afirmaciones.py)</t>
      </text>
    </comment>
    <comment ref="C214" authorId="0" shapeId="0">
      <text>
        <t>Fuente: ECV (INE) y Eurostat COFOG (src/m1/f6_afirmaciones.py)</t>
      </text>
    </comment>
    <comment ref="D214" authorId="0" shapeId="0">
      <text>
        <t>Fuente: ECV (INE) y Eurostat COFOG (src/m1/f6_afirmaciones.py)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tablas_m1.xlsx · Estudio M1 (solo información pública)</t>
        </is>
      </c>
    </row>
    <row r="3">
      <c r="A3" s="2" t="inlineStr">
        <is>
          <t>Dato introducido (fuente en la nota de la celda)</t>
        </is>
      </c>
    </row>
    <row r="4">
      <c r="A4" s="3" t="inlineStr">
        <is>
          <t>Calculado en la hoja</t>
        </is>
      </c>
    </row>
    <row r="5">
      <c r="A5" s="4" t="inlineStr">
        <is>
          <t>Viene de otra pestaña</t>
        </is>
      </c>
    </row>
    <row r="7">
      <c r="A7" t="inlineStr">
        <is>
          <t>Todas las cifras difundibles proceden de output/cifras_clave.csv (pestaña «Cifras»).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</cols>
  <sheetData>
    <row r="1">
      <c r="A1" s="5" t="inlineStr">
        <is>
          <t>Partida (€ por persona y año, 2024)</t>
        </is>
      </c>
      <c r="B1" s="5" t="inlineStr">
        <is>
          <t>España</t>
        </is>
      </c>
      <c r="C1" s="5" t="inlineStr">
        <is>
          <t>Resto UE</t>
        </is>
      </c>
      <c r="D1" s="5" t="inlineStr">
        <is>
          <t>Resto del mundo</t>
        </is>
      </c>
    </row>
    <row r="2">
      <c r="A2" t="inlineStr">
        <is>
          <t>ing_irpf_cotiz_trab</t>
        </is>
      </c>
      <c r="B2" s="2" t="n">
        <v>4324.2</v>
      </c>
      <c r="C2" s="2" t="n">
        <v>4234.4</v>
      </c>
      <c r="D2" s="2" t="n">
        <v>2566</v>
      </c>
    </row>
    <row r="3">
      <c r="A3" t="inlineStr">
        <is>
          <t>ing_cotiz_empresa</t>
        </is>
      </c>
      <c r="B3" s="2" t="n">
        <v>3110.9</v>
      </c>
      <c r="C3" s="2" t="n">
        <v>3742.6</v>
      </c>
      <c r="D3" s="2" t="n">
        <v>2968</v>
      </c>
    </row>
    <row r="4">
      <c r="A4" t="inlineStr">
        <is>
          <t>ing_iva</t>
        </is>
      </c>
      <c r="B4" s="2" t="n">
        <v>2242.8</v>
      </c>
      <c r="C4" s="2" t="n">
        <v>1836</v>
      </c>
      <c r="D4" s="2" t="n">
        <v>1415.2</v>
      </c>
    </row>
    <row r="5">
      <c r="A5" t="inlineStr">
        <is>
          <t>ing_especiales</t>
        </is>
      </c>
      <c r="B5" s="2" t="n">
        <v>1036.1</v>
      </c>
      <c r="C5" s="2" t="n">
        <v>877.9</v>
      </c>
      <c r="D5" s="2" t="n">
        <v>591.9</v>
      </c>
    </row>
    <row r="6">
      <c r="A6" t="inlineStr">
        <is>
          <t>ing_vivienda_ibi</t>
        </is>
      </c>
      <c r="B6" s="2" t="n">
        <v>450.1</v>
      </c>
      <c r="C6" s="2" t="n">
        <v>298.3</v>
      </c>
      <c r="D6" s="2" t="n">
        <v>156.6</v>
      </c>
    </row>
    <row r="7">
      <c r="A7" t="inlineStr">
        <is>
          <t>ing_sociedades_capital</t>
        </is>
      </c>
      <c r="B7" s="2" t="n">
        <v>1422.3</v>
      </c>
      <c r="C7" s="2" t="n">
        <v>1779.6</v>
      </c>
      <c r="D7" s="2" t="n">
        <v>917.9</v>
      </c>
    </row>
    <row r="8">
      <c r="A8" t="inlineStr">
        <is>
          <t>ing_otros_ingresos</t>
        </is>
      </c>
      <c r="B8" s="2" t="n">
        <v>1835.6</v>
      </c>
      <c r="C8" s="2" t="n">
        <v>1835.6</v>
      </c>
      <c r="D8" s="2" t="n">
        <v>1835.6</v>
      </c>
    </row>
    <row r="9">
      <c r="A9" t="inlineStr">
        <is>
          <t>gas_desempleo</t>
        </is>
      </c>
      <c r="B9" s="2" t="n">
        <v>455.9</v>
      </c>
      <c r="C9" s="2" t="n">
        <v>727.8</v>
      </c>
      <c r="D9" s="2" t="n">
        <v>575.9</v>
      </c>
    </row>
    <row r="10">
      <c r="A10" t="inlineStr">
        <is>
          <t>gas_vejez</t>
        </is>
      </c>
      <c r="B10" s="2" t="n">
        <v>3769.4</v>
      </c>
      <c r="C10" s="2" t="n">
        <v>819.5</v>
      </c>
      <c r="D10" s="2" t="n">
        <v>453.1</v>
      </c>
    </row>
    <row r="11">
      <c r="A11" t="inlineStr">
        <is>
          <t>gas_supervivencia</t>
        </is>
      </c>
      <c r="B11" s="2" t="n">
        <v>856.4</v>
      </c>
      <c r="C11" s="2" t="n">
        <v>215.5</v>
      </c>
      <c r="D11" s="2" t="n">
        <v>121.8</v>
      </c>
    </row>
    <row r="12">
      <c r="A12" t="inlineStr">
        <is>
          <t>gas_enfermedad_incapacidad</t>
        </is>
      </c>
      <c r="B12" s="2" t="n">
        <v>837.5</v>
      </c>
      <c r="C12" s="2" t="n">
        <v>783.3</v>
      </c>
      <c r="D12" s="2" t="n">
        <v>436.5</v>
      </c>
    </row>
    <row r="13">
      <c r="A13" t="inlineStr">
        <is>
          <t>gas_familia</t>
        </is>
      </c>
      <c r="B13" s="2" t="n">
        <v>207.9</v>
      </c>
      <c r="C13" s="2" t="n">
        <v>148.1</v>
      </c>
      <c r="D13" s="2" t="n">
        <v>148</v>
      </c>
    </row>
    <row r="14">
      <c r="A14" t="inlineStr">
        <is>
          <t>gas_exclusion_social</t>
        </is>
      </c>
      <c r="B14" s="2" t="n">
        <v>123</v>
      </c>
      <c r="C14" s="2" t="n">
        <v>115.1</v>
      </c>
      <c r="D14" s="2" t="n">
        <v>186.9</v>
      </c>
    </row>
    <row r="15">
      <c r="A15" t="inlineStr">
        <is>
          <t>gas_vivienda</t>
        </is>
      </c>
      <c r="B15" s="2" t="n">
        <v>2.3</v>
      </c>
      <c r="C15" s="2" t="n">
        <v>3.2</v>
      </c>
      <c r="D15" s="2" t="n">
        <v>5</v>
      </c>
    </row>
    <row r="16">
      <c r="A16" t="inlineStr">
        <is>
          <t>gas_otras_prestaciones</t>
        </is>
      </c>
      <c r="B16" s="2" t="n">
        <v>0</v>
      </c>
      <c r="C16" s="2" t="n">
        <v>0</v>
      </c>
      <c r="D16" s="2" t="n">
        <v>0</v>
      </c>
    </row>
    <row r="17">
      <c r="A17" t="inlineStr">
        <is>
          <t>gas_sanidad</t>
        </is>
      </c>
      <c r="B17" s="2" t="n">
        <v>2128.9</v>
      </c>
      <c r="C17" s="2" t="n">
        <v>1995.3</v>
      </c>
      <c r="D17" s="2" t="n">
        <v>1821.2</v>
      </c>
    </row>
    <row r="18">
      <c r="A18" t="inlineStr">
        <is>
          <t>gas_educacion</t>
        </is>
      </c>
      <c r="B18" s="2" t="n">
        <v>1433.1</v>
      </c>
      <c r="C18" s="2" t="n">
        <v>570.5</v>
      </c>
      <c r="D18" s="2" t="n">
        <v>1096.8</v>
      </c>
    </row>
    <row r="19">
      <c r="A19" t="inlineStr">
        <is>
          <t>gas_prot_social_especie</t>
        </is>
      </c>
      <c r="B19" s="2" t="n">
        <v>663</v>
      </c>
      <c r="C19" s="2" t="n">
        <v>455.3</v>
      </c>
      <c r="D19" s="2" t="n">
        <v>463</v>
      </c>
    </row>
    <row r="20">
      <c r="A20" t="inlineStr">
        <is>
          <t>gas_bienes_publicos_puros</t>
        </is>
      </c>
      <c r="B20" s="2" t="n">
        <v>2192.6</v>
      </c>
      <c r="C20" s="2" t="n">
        <v>2192.6</v>
      </c>
      <c r="D20" s="2" t="n">
        <v>2192.6</v>
      </c>
    </row>
    <row r="21">
      <c r="A21" t="inlineStr">
        <is>
          <t>gas_resto_servicios</t>
        </is>
      </c>
      <c r="B21" s="2" t="n">
        <v>3118.6</v>
      </c>
      <c r="C21" s="2" t="n">
        <v>3118.6</v>
      </c>
      <c r="D21" s="2" t="n">
        <v>3118.6</v>
      </c>
    </row>
    <row r="22">
      <c r="A22" s="6" t="inlineStr">
        <is>
          <t>Ingresos</t>
        </is>
      </c>
      <c r="B22" s="3">
        <f>SUM(B2:B8)</f>
        <v/>
      </c>
      <c r="C22" s="3">
        <f>SUM(C2:C8)</f>
        <v/>
      </c>
      <c r="D22" s="3">
        <f>SUM(D2:D8)</f>
        <v/>
      </c>
    </row>
    <row r="23">
      <c r="A23" s="6" t="inlineStr">
        <is>
          <t>Gastos</t>
        </is>
      </c>
      <c r="B23" s="3">
        <f>SUM(B9:B21)</f>
        <v/>
      </c>
      <c r="C23" s="3">
        <f>SUM(C9:C21)</f>
        <v/>
      </c>
      <c r="D23" s="3">
        <f>SUM(D9:D21)</f>
        <v/>
      </c>
    </row>
    <row r="24">
      <c r="A24" s="6" t="inlineStr">
        <is>
          <t>Contribución neta</t>
        </is>
      </c>
      <c r="B24" s="3">
        <f>B22-B23</f>
        <v/>
      </c>
      <c r="C24" s="3">
        <f>C22-C23</f>
        <v/>
      </c>
      <c r="D24" s="3">
        <f>D22-D23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8" customWidth="1" min="4" max="4"/>
  </cols>
  <sheetData>
    <row r="1">
      <c r="A1" s="5" t="inlineStr">
        <is>
          <t>Grupo</t>
        </is>
      </c>
      <c r="B1" s="5" t="inlineStr">
        <is>
          <t>Neta por persona (€)</t>
        </is>
      </c>
      <c r="C1" s="5" t="inlineStr">
        <is>
          <t>Población</t>
        </is>
      </c>
      <c r="D1" s="5" t="inlineStr">
        <is>
          <t>Neta total (M€)</t>
        </is>
      </c>
    </row>
    <row r="2">
      <c r="A2" t="inlineStr">
        <is>
          <t>España</t>
        </is>
      </c>
      <c r="B2" s="4">
        <f>Fiscal_2024!B24</f>
        <v/>
      </c>
      <c r="C2" s="2" t="n">
        <v>39691870</v>
      </c>
      <c r="D2" s="3">
        <f>B2*C2/1000000</f>
        <v/>
      </c>
    </row>
    <row r="3">
      <c r="A3" t="inlineStr">
        <is>
          <t>Resto UE</t>
        </is>
      </c>
      <c r="B3" s="4">
        <f>Fiscal_2024!C24</f>
        <v/>
      </c>
      <c r="C3" s="2" t="n">
        <v>1717615</v>
      </c>
      <c r="D3" s="3">
        <f>B3*C3/1000000</f>
        <v/>
      </c>
    </row>
    <row r="4">
      <c r="A4" t="inlineStr">
        <is>
          <t>Resto del mundo</t>
        </is>
      </c>
      <c r="B4" s="4">
        <f>Fiscal_2024!D24</f>
        <v/>
      </c>
      <c r="C4" s="2" t="n">
        <v>7292699</v>
      </c>
      <c r="D4" s="3">
        <f>B4*C4/1000000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5" t="inlineStr">
        <is>
          <t>Grupo (nacimiento)</t>
        </is>
      </c>
      <c r="B1" s="5" t="inlineStr">
        <is>
          <t>Población 16-64</t>
        </is>
      </c>
      <c r="C1" s="5" t="inlineStr">
        <is>
          <t>Tasa de empleo</t>
        </is>
      </c>
      <c r="D1" s="5" t="inlineStr">
        <is>
          <t>Tasa de paro</t>
        </is>
      </c>
      <c r="E1" s="5" t="inlineStr">
        <is>
          <t>Temporalidad</t>
        </is>
      </c>
      <c r="F1" s="5" t="inlineStr">
        <is>
          <t>Ocupados</t>
        </is>
      </c>
      <c r="G1" s="5" t="inlineStr">
        <is>
          <t>Cuota de los ocupados</t>
        </is>
      </c>
    </row>
    <row r="2">
      <c r="A2" t="inlineStr">
        <is>
          <t>América Latina</t>
        </is>
      </c>
      <c r="B2" s="2" t="n">
        <v>3859345.0225</v>
      </c>
      <c r="C2" s="2" t="n">
        <v>0.7167</v>
      </c>
      <c r="D2" s="2" t="n">
        <v>0.1305</v>
      </c>
      <c r="E2" s="2" t="n">
        <v>0.2017</v>
      </c>
      <c r="F2" s="2" t="n">
        <v>2818976.735</v>
      </c>
      <c r="G2" s="3">
        <f>F2/SUM($F$2:$F$8)</f>
        <v/>
      </c>
    </row>
    <row r="3">
      <c r="A3" t="inlineStr">
        <is>
          <t>Asia</t>
        </is>
      </c>
      <c r="B3" s="2" t="n">
        <v>431172.5</v>
      </c>
      <c r="C3" s="2" t="n">
        <v>0.6841</v>
      </c>
      <c r="D3" s="2" t="n">
        <v>0.08890000000000001</v>
      </c>
      <c r="E3" s="2" t="n">
        <v>0.1218</v>
      </c>
      <c r="F3" s="2" t="n">
        <v>303441.295</v>
      </c>
      <c r="G3" s="3">
        <f>F3/SUM($F$2:$F$8)</f>
        <v/>
      </c>
    </row>
    <row r="4">
      <c r="A4" t="inlineStr">
        <is>
          <t>España</t>
        </is>
      </c>
      <c r="B4" s="2" t="n">
        <v>24327069.8</v>
      </c>
      <c r="C4" s="2" t="n">
        <v>0.6841</v>
      </c>
      <c r="D4" s="2" t="n">
        <v>0.09379999999999999</v>
      </c>
      <c r="E4" s="2" t="n">
        <v>0.145</v>
      </c>
      <c r="F4" s="2" t="n">
        <v>16976865.8</v>
      </c>
      <c r="G4" s="3">
        <f>F4/SUM($F$2:$F$8)</f>
        <v/>
      </c>
    </row>
    <row r="5">
      <c r="A5" t="inlineStr">
        <is>
          <t>Resto</t>
        </is>
      </c>
      <c r="B5" s="2" t="n">
        <v>51073.9725</v>
      </c>
      <c r="C5" s="2" t="n">
        <v>0.6102</v>
      </c>
      <c r="D5" s="2" t="n">
        <v>0.1562</v>
      </c>
      <c r="E5" s="2" t="n">
        <v>0.1841</v>
      </c>
      <c r="F5" s="2" t="n">
        <v>32801.125</v>
      </c>
      <c r="G5" s="3">
        <f>F5/SUM($F$2:$F$8)</f>
        <v/>
      </c>
    </row>
    <row r="6">
      <c r="A6" t="inlineStr">
        <is>
          <t>UE-13 y otros de Europa</t>
        </is>
      </c>
      <c r="B6" s="2" t="n">
        <v>1315129.91</v>
      </c>
      <c r="C6" s="2" t="n">
        <v>0.6936</v>
      </c>
      <c r="D6" s="2" t="n">
        <v>0.1229</v>
      </c>
      <c r="E6" s="2" t="n">
        <v>0.1122</v>
      </c>
      <c r="F6" s="2" t="n">
        <v>927031.4925000001</v>
      </c>
      <c r="G6" s="3">
        <f>F6/SUM($F$2:$F$8)</f>
        <v/>
      </c>
    </row>
    <row r="7">
      <c r="A7" t="inlineStr">
        <is>
          <t>UE-14</t>
        </is>
      </c>
      <c r="B7" s="2" t="n">
        <v>571807.7725</v>
      </c>
      <c r="C7" s="2" t="n">
        <v>0.7332</v>
      </c>
      <c r="D7" s="2" t="n">
        <v>0.0859</v>
      </c>
      <c r="E7" s="2" t="n">
        <v>0.0779</v>
      </c>
      <c r="F7" s="2" t="n">
        <v>424311.3075</v>
      </c>
      <c r="G7" s="3">
        <f>F7/SUM($F$2:$F$8)</f>
        <v/>
      </c>
    </row>
    <row r="8">
      <c r="A8" t="inlineStr">
        <is>
          <t>África</t>
        </is>
      </c>
      <c r="B8" s="2" t="n">
        <v>1429238.895</v>
      </c>
      <c r="C8" s="2" t="n">
        <v>0.5083</v>
      </c>
      <c r="D8" s="2" t="n">
        <v>0.2311</v>
      </c>
      <c r="E8" s="2" t="n">
        <v>0.2332</v>
      </c>
      <c r="F8" s="2" t="n">
        <v>737684.4300000001</v>
      </c>
      <c r="G8" s="3">
        <f>F8/SUM($F$2:$F$8)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6" customWidth="1" min="5" max="5"/>
    <col width="6" customWidth="1" min="6" max="6"/>
    <col width="14" customWidth="1" min="7" max="7"/>
    <col width="12" customWidth="1" min="8" max="8"/>
    <col width="14" customWidth="1" min="9" max="9"/>
    <col width="18" customWidth="1" min="10" max="10"/>
    <col width="40" customWidth="1" min="11" max="11"/>
    <col width="80" customWidth="1" min="12" max="12"/>
  </cols>
  <sheetData>
    <row r="1">
      <c r="A1" s="5" t="inlineStr">
        <is>
          <t>id</t>
        </is>
      </c>
      <c r="B1" s="5" t="inlineStr">
        <is>
          <t>valor</t>
        </is>
      </c>
      <c r="C1" s="5" t="inlineStr">
        <is>
          <t>ic_inf</t>
        </is>
      </c>
      <c r="D1" s="5" t="inlineStr">
        <is>
          <t>ic_sup</t>
        </is>
      </c>
      <c r="E1" s="5" t="inlineStr">
        <is>
          <t>unidad</t>
        </is>
      </c>
      <c r="F1" s="5" t="inlineStr">
        <is>
          <t>capa</t>
        </is>
      </c>
      <c r="G1" s="5" t="inlineStr">
        <is>
          <t>clasificacion</t>
        </is>
      </c>
      <c r="H1" s="5" t="inlineStr">
        <is>
          <t>periodo</t>
        </is>
      </c>
      <c r="I1" s="5" t="inlineStr">
        <is>
          <t>ambito</t>
        </is>
      </c>
      <c r="J1" s="5" t="inlineStr">
        <is>
          <t>grupo_origen</t>
        </is>
      </c>
      <c r="K1" s="5" t="inlineStr">
        <is>
          <t>fuente</t>
        </is>
      </c>
      <c r="L1" s="5" t="inlineStr">
        <is>
          <t>descripcion</t>
        </is>
      </c>
    </row>
    <row r="2">
      <c r="A2" t="inlineStr">
        <is>
          <t>F3_EMP_AUMENTO_OCUPADOS_2014_2025</t>
        </is>
      </c>
      <c r="B2" s="2" t="n">
        <v>4.88</v>
      </c>
      <c r="C2" s="2" t="n"/>
      <c r="D2" s="2" t="n"/>
      <c r="E2" t="inlineStr">
        <is>
          <t>millones</t>
        </is>
      </c>
      <c r="F2" t="inlineStr">
        <is>
          <t>C1</t>
        </is>
      </c>
      <c r="H2" t="inlineStr">
        <is>
          <t>2014-2025</t>
        </is>
      </c>
      <c r="I2" t="inlineStr">
        <is>
          <t>España</t>
        </is>
      </c>
      <c r="J2" t="inlineStr">
        <is>
          <t>todos</t>
        </is>
      </c>
      <c r="K2" t="inlineStr">
        <is>
          <t>EPA (INE, microdatos trimestrales)</t>
        </is>
      </c>
      <c r="L2" t="inlineStr">
        <is>
          <t>Aumento de la ocupación media anual 2014-2025</t>
        </is>
      </c>
    </row>
    <row r="3">
      <c r="A3" t="inlineStr">
        <is>
          <t>F3_EMP_BRECHA_América Latina_bruto_2025</t>
        </is>
      </c>
      <c r="B3" s="2" t="n">
        <v>3.3</v>
      </c>
      <c r="C3" s="2" t="n">
        <v>1</v>
      </c>
      <c r="D3" s="2" t="n">
        <v>5.5</v>
      </c>
      <c r="E3" t="inlineStr">
        <is>
          <t>pp</t>
        </is>
      </c>
      <c r="F3" t="inlineStr">
        <is>
          <t>C1</t>
        </is>
      </c>
      <c r="H3" t="inlineStr">
        <is>
          <t>2025</t>
        </is>
      </c>
      <c r="I3" t="inlineStr">
        <is>
          <t>España</t>
        </is>
      </c>
      <c r="J3" t="inlineStr">
        <is>
          <t>América Latina</t>
        </is>
      </c>
      <c r="K3" t="inlineStr">
        <is>
          <t>EPA (INE, microdatos trimestrales)</t>
        </is>
      </c>
      <c r="L3" t="inlineStr">
        <is>
          <t>Brecha de tasa de empleo 16-64 frente a nacidos en España (bruto)</t>
        </is>
      </c>
    </row>
    <row r="4">
      <c r="A4" t="inlineStr">
        <is>
          <t>F3_EMP_BRECHA_América Latina_completo_2025</t>
        </is>
      </c>
      <c r="B4" s="2" t="n">
        <v>4.9</v>
      </c>
      <c r="C4" s="2" t="n">
        <v>3.6</v>
      </c>
      <c r="D4" s="2" t="n">
        <v>6.2</v>
      </c>
      <c r="E4" t="inlineStr">
        <is>
          <t>pp</t>
        </is>
      </c>
      <c r="F4" t="inlineStr">
        <is>
          <t>C4</t>
        </is>
      </c>
      <c r="H4" t="inlineStr">
        <is>
          <t>2025</t>
        </is>
      </c>
      <c r="I4" t="inlineStr">
        <is>
          <t>España</t>
        </is>
      </c>
      <c r="J4" t="inlineStr">
        <is>
          <t>América Latina</t>
        </is>
      </c>
      <c r="K4" t="inlineStr">
        <is>
          <t>EPA (INE, microdatos trimestrales)</t>
        </is>
      </c>
      <c r="L4" t="inlineStr">
        <is>
          <t>Brecha de tasa de empleo 16-64 frente a nacidos en España (completo)</t>
        </is>
      </c>
    </row>
    <row r="5">
      <c r="A5" t="inlineStr">
        <is>
          <t>F3_EMP_BRECHA_América Latina_edad_y_sexo_2025</t>
        </is>
      </c>
      <c r="B5" s="2" t="n">
        <v>-0.4</v>
      </c>
      <c r="C5" s="2" t="n">
        <v>-2.2</v>
      </c>
      <c r="D5" s="2" t="n">
        <v>1.3</v>
      </c>
      <c r="E5" t="inlineStr">
        <is>
          <t>pp</t>
        </is>
      </c>
      <c r="F5" t="inlineStr">
        <is>
          <t>C4</t>
        </is>
      </c>
      <c r="H5" t="inlineStr">
        <is>
          <t>2025</t>
        </is>
      </c>
      <c r="I5" t="inlineStr">
        <is>
          <t>España</t>
        </is>
      </c>
      <c r="J5" t="inlineStr">
        <is>
          <t>América Latina</t>
        </is>
      </c>
      <c r="K5" t="inlineStr">
        <is>
          <t>EPA (INE, microdatos trimestrales)</t>
        </is>
      </c>
      <c r="L5" t="inlineStr">
        <is>
          <t>Brecha de tasa de empleo 16-64 frente a nacidos en España (edad y sexo)</t>
        </is>
      </c>
    </row>
    <row r="6">
      <c r="A6" t="inlineStr">
        <is>
          <t>F3_EMP_BRECHA_Asia_bruto_2025</t>
        </is>
      </c>
      <c r="B6" s="2" t="n">
        <v>0</v>
      </c>
      <c r="C6" s="2" t="n">
        <v>-4.1</v>
      </c>
      <c r="D6" s="2" t="n">
        <v>4.1</v>
      </c>
      <c r="E6" t="inlineStr">
        <is>
          <t>pp</t>
        </is>
      </c>
      <c r="F6" t="inlineStr">
        <is>
          <t>C1</t>
        </is>
      </c>
      <c r="H6" t="inlineStr">
        <is>
          <t>2025</t>
        </is>
      </c>
      <c r="I6" t="inlineStr">
        <is>
          <t>España</t>
        </is>
      </c>
      <c r="J6" t="inlineStr">
        <is>
          <t>Asia</t>
        </is>
      </c>
      <c r="K6" t="inlineStr">
        <is>
          <t>EPA (INE, microdatos trimestrales)</t>
        </is>
      </c>
      <c r="L6" t="inlineStr">
        <is>
          <t>Brecha de tasa de empleo 16-64 frente a nacidos en España (bruto)</t>
        </is>
      </c>
    </row>
    <row r="7">
      <c r="A7" t="inlineStr">
        <is>
          <t>F3_EMP_BRECHA_Asia_completo_2025</t>
        </is>
      </c>
      <c r="B7" s="2" t="n">
        <v>-0.9</v>
      </c>
      <c r="C7" s="2" t="n">
        <v>-3.5</v>
      </c>
      <c r="D7" s="2" t="n">
        <v>1.7</v>
      </c>
      <c r="E7" t="inlineStr">
        <is>
          <t>pp</t>
        </is>
      </c>
      <c r="F7" t="inlineStr">
        <is>
          <t>C4</t>
        </is>
      </c>
      <c r="H7" t="inlineStr">
        <is>
          <t>2025</t>
        </is>
      </c>
      <c r="I7" t="inlineStr">
        <is>
          <t>España</t>
        </is>
      </c>
      <c r="J7" t="inlineStr">
        <is>
          <t>Asia</t>
        </is>
      </c>
      <c r="K7" t="inlineStr">
        <is>
          <t>EPA (INE, microdatos trimestrales)</t>
        </is>
      </c>
      <c r="L7" t="inlineStr">
        <is>
          <t>Brecha de tasa de empleo 16-64 frente a nacidos en España (completo)</t>
        </is>
      </c>
    </row>
    <row r="8">
      <c r="A8" t="inlineStr">
        <is>
          <t>F3_EMP_BRECHA_Asia_edad_y_sexo_2025</t>
        </is>
      </c>
      <c r="B8" s="2" t="n">
        <v>-4.2</v>
      </c>
      <c r="C8" s="2" t="n">
        <v>-7.1</v>
      </c>
      <c r="D8" s="2" t="n">
        <v>-1.3</v>
      </c>
      <c r="E8" t="inlineStr">
        <is>
          <t>pp</t>
        </is>
      </c>
      <c r="F8" t="inlineStr">
        <is>
          <t>C4</t>
        </is>
      </c>
      <c r="H8" t="inlineStr">
        <is>
          <t>2025</t>
        </is>
      </c>
      <c r="I8" t="inlineStr">
        <is>
          <t>España</t>
        </is>
      </c>
      <c r="J8" t="inlineStr">
        <is>
          <t>Asia</t>
        </is>
      </c>
      <c r="K8" t="inlineStr">
        <is>
          <t>EPA (INE, microdatos trimestrales)</t>
        </is>
      </c>
      <c r="L8" t="inlineStr">
        <is>
          <t>Brecha de tasa de empleo 16-64 frente a nacidos en España (edad y sexo)</t>
        </is>
      </c>
    </row>
    <row r="9">
      <c r="A9" t="inlineStr">
        <is>
          <t>F3_EMP_BRECHA_PROV_MAX_2025</t>
        </is>
      </c>
      <c r="B9" s="2" t="n">
        <v>3</v>
      </c>
      <c r="C9" s="2" t="n"/>
      <c r="D9" s="2" t="n"/>
      <c r="E9" t="inlineStr">
        <is>
          <t>pp</t>
        </is>
      </c>
      <c r="F9" t="inlineStr">
        <is>
          <t>C4</t>
        </is>
      </c>
      <c r="H9" t="inlineStr">
        <is>
          <t>2025</t>
        </is>
      </c>
      <c r="I9" t="inlineStr">
        <is>
          <t>provincia 28</t>
        </is>
      </c>
      <c r="J9" t="inlineStr">
        <is>
          <t>nacidos fuera</t>
        </is>
      </c>
      <c r="K9" t="inlineStr">
        <is>
          <t>EPA (INE, microdatos trimestrales)</t>
        </is>
      </c>
      <c r="L9" t="inlineStr">
        <is>
          <t>Brecha provincial máxima, provincia 28</t>
        </is>
      </c>
    </row>
    <row r="10">
      <c r="A10" t="inlineStr">
        <is>
          <t>F3_EMP_BRECHA_PROV_MIN_2025</t>
        </is>
      </c>
      <c r="B10" s="2" t="n">
        <v>-16.6</v>
      </c>
      <c r="C10" s="2" t="n"/>
      <c r="D10" s="2" t="n"/>
      <c r="E10" t="inlineStr">
        <is>
          <t>pp</t>
        </is>
      </c>
      <c r="F10" t="inlineStr">
        <is>
          <t>C4</t>
        </is>
      </c>
      <c r="H10" t="inlineStr">
        <is>
          <t>2025</t>
        </is>
      </c>
      <c r="I10" t="inlineStr">
        <is>
          <t>provincia 01</t>
        </is>
      </c>
      <c r="J10" t="inlineStr">
        <is>
          <t>nacidos fuera</t>
        </is>
      </c>
      <c r="K10" t="inlineStr">
        <is>
          <t>EPA (INE, microdatos trimestrales)</t>
        </is>
      </c>
      <c r="L10" t="inlineStr">
        <is>
          <t>Brecha provincial mínima de tasa de empleo 16-64 (nacidos fuera menos nacidos en España), provincia 01</t>
        </is>
      </c>
    </row>
    <row r="11">
      <c r="A11" t="inlineStr">
        <is>
          <t>F3_EMP_BRECHA_PROV_POSITIVAS_2025</t>
        </is>
      </c>
      <c r="B11" s="2" t="n">
        <v>9</v>
      </c>
      <c r="C11" s="2" t="n"/>
      <c r="D11" s="2" t="n"/>
      <c r="E11" t="inlineStr">
        <is>
          <t>provincias</t>
        </is>
      </c>
      <c r="F11" t="inlineStr">
        <is>
          <t>C4</t>
        </is>
      </c>
      <c r="H11" t="inlineStr">
        <is>
          <t>2025</t>
        </is>
      </c>
      <c r="I11" t="inlineStr">
        <is>
          <t>provincias</t>
        </is>
      </c>
      <c r="J11" t="inlineStr">
        <is>
          <t>nacidos fuera</t>
        </is>
      </c>
      <c r="K11" t="inlineStr">
        <is>
          <t>EPA (INE, microdatos trimestrales)</t>
        </is>
      </c>
      <c r="L11" t="inlineStr">
        <is>
          <t>Provincias donde la tasa de empleo 16-64 de los nacidos fuera supera a la de los nacidos en España</t>
        </is>
      </c>
    </row>
    <row r="12">
      <c r="A12" t="inlineStr">
        <is>
          <t>F3_EMP_BRECHA_Resto_bruto_2025</t>
        </is>
      </c>
      <c r="B12" s="2" t="n">
        <v>-7.4</v>
      </c>
      <c r="C12" s="2" t="n">
        <v>-15.6</v>
      </c>
      <c r="D12" s="2" t="n">
        <v>0.8</v>
      </c>
      <c r="E12" t="inlineStr">
        <is>
          <t>pp</t>
        </is>
      </c>
      <c r="F12" t="inlineStr">
        <is>
          <t>C1</t>
        </is>
      </c>
      <c r="H12" t="inlineStr">
        <is>
          <t>2025</t>
        </is>
      </c>
      <c r="I12" t="inlineStr">
        <is>
          <t>España</t>
        </is>
      </c>
      <c r="J12" t="inlineStr">
        <is>
          <t>Resto</t>
        </is>
      </c>
      <c r="K12" t="inlineStr">
        <is>
          <t>EPA (INE, microdatos trimestrales)</t>
        </is>
      </c>
      <c r="L12" t="inlineStr">
        <is>
          <t>Brecha de tasa de empleo 16-64 frente a nacidos en España (bruto)</t>
        </is>
      </c>
    </row>
    <row r="13">
      <c r="A13" t="inlineStr">
        <is>
          <t>F3_EMP_BRECHA_Resto_completo_2025</t>
        </is>
      </c>
      <c r="B13" s="2" t="n">
        <v>-13.5</v>
      </c>
      <c r="C13" s="2" t="n">
        <v>-24.4</v>
      </c>
      <c r="D13" s="2" t="n">
        <v>-2.7</v>
      </c>
      <c r="E13" t="inlineStr">
        <is>
          <t>pp</t>
        </is>
      </c>
      <c r="F13" t="inlineStr">
        <is>
          <t>C4</t>
        </is>
      </c>
      <c r="H13" t="inlineStr">
        <is>
          <t>2025</t>
        </is>
      </c>
      <c r="I13" t="inlineStr">
        <is>
          <t>España</t>
        </is>
      </c>
      <c r="J13" t="inlineStr">
        <is>
          <t>Resto</t>
        </is>
      </c>
      <c r="K13" t="inlineStr">
        <is>
          <t>EPA (INE, microdatos trimestrales)</t>
        </is>
      </c>
      <c r="L13" t="inlineStr">
        <is>
          <t>Brecha de tasa de empleo 16-64 frente a nacidos en España (completo)</t>
        </is>
      </c>
    </row>
    <row r="14">
      <c r="A14" t="inlineStr">
        <is>
          <t>F3_EMP_BRECHA_Resto_edad_y_sexo_2025</t>
        </is>
      </c>
      <c r="B14" s="2" t="n">
        <v>-8.800000000000001</v>
      </c>
      <c r="C14" s="2" t="n">
        <v>-18.5</v>
      </c>
      <c r="D14" s="2" t="n">
        <v>0.8</v>
      </c>
      <c r="E14" t="inlineStr">
        <is>
          <t>pp</t>
        </is>
      </c>
      <c r="F14" t="inlineStr">
        <is>
          <t>C4</t>
        </is>
      </c>
      <c r="H14" t="inlineStr">
        <is>
          <t>2025</t>
        </is>
      </c>
      <c r="I14" t="inlineStr">
        <is>
          <t>España</t>
        </is>
      </c>
      <c r="J14" t="inlineStr">
        <is>
          <t>Resto</t>
        </is>
      </c>
      <c r="K14" t="inlineStr">
        <is>
          <t>EPA (INE, microdatos trimestrales)</t>
        </is>
      </c>
      <c r="L14" t="inlineStr">
        <is>
          <t>Brecha de tasa de empleo 16-64 frente a nacidos en España (edad y sexo)</t>
        </is>
      </c>
    </row>
    <row r="15">
      <c r="A15" t="inlineStr">
        <is>
          <t>F3_EMP_BRECHA_UE-13 y otros de Europa_bruto_2025</t>
        </is>
      </c>
      <c r="B15" s="2" t="n">
        <v>0.9</v>
      </c>
      <c r="C15" s="2" t="n">
        <v>-2.6</v>
      </c>
      <c r="D15" s="2" t="n">
        <v>4.5</v>
      </c>
      <c r="E15" t="inlineStr">
        <is>
          <t>pp</t>
        </is>
      </c>
      <c r="F15" t="inlineStr">
        <is>
          <t>C1</t>
        </is>
      </c>
      <c r="H15" t="inlineStr">
        <is>
          <t>2025</t>
        </is>
      </c>
      <c r="I15" t="inlineStr">
        <is>
          <t>España</t>
        </is>
      </c>
      <c r="J15" t="inlineStr">
        <is>
          <t>UE-13 y otros de Europa</t>
        </is>
      </c>
      <c r="K15" t="inlineStr">
        <is>
          <t>EPA (INE, microdatos trimestrales)</t>
        </is>
      </c>
      <c r="L15" t="inlineStr">
        <is>
          <t>Brecha de tasa de empleo 16-64 frente a nacidos en España (bruto)</t>
        </is>
      </c>
    </row>
    <row r="16">
      <c r="A16" t="inlineStr">
        <is>
          <t>F3_EMP_BRECHA_UE-13 y otros de Europa_completo_2025</t>
        </is>
      </c>
      <c r="B16" s="2" t="n">
        <v>-2.6</v>
      </c>
      <c r="C16" s="2" t="n">
        <v>-4.9</v>
      </c>
      <c r="D16" s="2" t="n">
        <v>-0.3</v>
      </c>
      <c r="E16" t="inlineStr">
        <is>
          <t>pp</t>
        </is>
      </c>
      <c r="F16" t="inlineStr">
        <is>
          <t>C4</t>
        </is>
      </c>
      <c r="H16" t="inlineStr">
        <is>
          <t>2025</t>
        </is>
      </c>
      <c r="I16" t="inlineStr">
        <is>
          <t>España</t>
        </is>
      </c>
      <c r="J16" t="inlineStr">
        <is>
          <t>UE-13 y otros de Europa</t>
        </is>
      </c>
      <c r="K16" t="inlineStr">
        <is>
          <t>EPA (INE, microdatos trimestrales)</t>
        </is>
      </c>
      <c r="L16" t="inlineStr">
        <is>
          <t>Brecha de tasa de empleo 16-64 frente a nacidos en España (completo)</t>
        </is>
      </c>
    </row>
    <row r="17">
      <c r="A17" t="inlineStr">
        <is>
          <t>F3_EMP_BRECHA_UE-13 y otros de Europa_edad_y_sexo_2025</t>
        </is>
      </c>
      <c r="B17" s="2" t="n">
        <v>-3.8</v>
      </c>
      <c r="C17" s="2" t="n">
        <v>-6.7</v>
      </c>
      <c r="D17" s="2" t="n">
        <v>-0.9</v>
      </c>
      <c r="E17" t="inlineStr">
        <is>
          <t>pp</t>
        </is>
      </c>
      <c r="F17" t="inlineStr">
        <is>
          <t>C4</t>
        </is>
      </c>
      <c r="H17" t="inlineStr">
        <is>
          <t>2025</t>
        </is>
      </c>
      <c r="I17" t="inlineStr">
        <is>
          <t>España</t>
        </is>
      </c>
      <c r="J17" t="inlineStr">
        <is>
          <t>UE-13 y otros de Europa</t>
        </is>
      </c>
      <c r="K17" t="inlineStr">
        <is>
          <t>EPA (INE, microdatos trimestrales)</t>
        </is>
      </c>
      <c r="L17" t="inlineStr">
        <is>
          <t>Brecha de tasa de empleo 16-64 frente a nacidos en España (edad y sexo)</t>
        </is>
      </c>
    </row>
    <row r="18">
      <c r="A18" t="inlineStr">
        <is>
          <t>F3_EMP_BRECHA_UE-14_bruto_2025</t>
        </is>
      </c>
      <c r="B18" s="2" t="n">
        <v>4.9</v>
      </c>
      <c r="C18" s="2" t="n">
        <v>1.5</v>
      </c>
      <c r="D18" s="2" t="n">
        <v>8.300000000000001</v>
      </c>
      <c r="E18" t="inlineStr">
        <is>
          <t>pp</t>
        </is>
      </c>
      <c r="F18" t="inlineStr">
        <is>
          <t>C1</t>
        </is>
      </c>
      <c r="H18" t="inlineStr">
        <is>
          <t>2025</t>
        </is>
      </c>
      <c r="I18" t="inlineStr">
        <is>
          <t>España</t>
        </is>
      </c>
      <c r="J18" t="inlineStr">
        <is>
          <t>UE-14</t>
        </is>
      </c>
      <c r="K18" t="inlineStr">
        <is>
          <t>EPA (INE, microdatos trimestrales)</t>
        </is>
      </c>
      <c r="L18" t="inlineStr">
        <is>
          <t>Brecha de tasa de empleo 16-64 frente a nacidos en España (bruto)</t>
        </is>
      </c>
    </row>
    <row r="19">
      <c r="A19" t="inlineStr">
        <is>
          <t>F3_EMP_BRECHA_UE-14_completo_2025</t>
        </is>
      </c>
      <c r="B19" s="2" t="n">
        <v>0.3</v>
      </c>
      <c r="C19" s="2" t="n">
        <v>-2.6</v>
      </c>
      <c r="D19" s="2" t="n">
        <v>3.2</v>
      </c>
      <c r="E19" t="inlineStr">
        <is>
          <t>pp</t>
        </is>
      </c>
      <c r="F19" t="inlineStr">
        <is>
          <t>C4</t>
        </is>
      </c>
      <c r="H19" t="inlineStr">
        <is>
          <t>2025</t>
        </is>
      </c>
      <c r="I19" t="inlineStr">
        <is>
          <t>España</t>
        </is>
      </c>
      <c r="J19" t="inlineStr">
        <is>
          <t>UE-14</t>
        </is>
      </c>
      <c r="K19" t="inlineStr">
        <is>
          <t>EPA (INE, microdatos trimestrales)</t>
        </is>
      </c>
      <c r="L19" t="inlineStr">
        <is>
          <t>Brecha de tasa de empleo 16-64 frente a nacidos en España (completo)</t>
        </is>
      </c>
    </row>
    <row r="20">
      <c r="A20" t="inlineStr">
        <is>
          <t>F3_EMP_BRECHA_UE-14_edad_y_sexo_2025</t>
        </is>
      </c>
      <c r="B20" s="2" t="n">
        <v>0.6</v>
      </c>
      <c r="C20" s="2" t="n">
        <v>-2.3</v>
      </c>
      <c r="D20" s="2" t="n">
        <v>3.5</v>
      </c>
      <c r="E20" t="inlineStr">
        <is>
          <t>pp</t>
        </is>
      </c>
      <c r="F20" t="inlineStr">
        <is>
          <t>C4</t>
        </is>
      </c>
      <c r="H20" t="inlineStr">
        <is>
          <t>2025</t>
        </is>
      </c>
      <c r="I20" t="inlineStr">
        <is>
          <t>España</t>
        </is>
      </c>
      <c r="J20" t="inlineStr">
        <is>
          <t>UE-14</t>
        </is>
      </c>
      <c r="K20" t="inlineStr">
        <is>
          <t>EPA (INE, microdatos trimestrales)</t>
        </is>
      </c>
      <c r="L20" t="inlineStr">
        <is>
          <t>Brecha de tasa de empleo 16-64 frente a nacidos en España (edad y sexo)</t>
        </is>
      </c>
    </row>
    <row r="21">
      <c r="A21" t="inlineStr">
        <is>
          <t>F3_EMP_BRECHA_África_bruto_2025</t>
        </is>
      </c>
      <c r="B21" s="2" t="n">
        <v>-17.6</v>
      </c>
      <c r="C21" s="2" t="n">
        <v>-20.1</v>
      </c>
      <c r="D21" s="2" t="n">
        <v>-15.1</v>
      </c>
      <c r="E21" t="inlineStr">
        <is>
          <t>pp</t>
        </is>
      </c>
      <c r="F21" t="inlineStr">
        <is>
          <t>C1</t>
        </is>
      </c>
      <c r="H21" t="inlineStr">
        <is>
          <t>2025</t>
        </is>
      </c>
      <c r="I21" t="inlineStr">
        <is>
          <t>España</t>
        </is>
      </c>
      <c r="J21" t="inlineStr">
        <is>
          <t>África</t>
        </is>
      </c>
      <c r="K21" t="inlineStr">
        <is>
          <t>EPA (INE, microdatos trimestrales)</t>
        </is>
      </c>
      <c r="L21" t="inlineStr">
        <is>
          <t>Brecha de tasa de empleo 16-64 frente a nacidos en España (bruto)</t>
        </is>
      </c>
    </row>
    <row r="22">
      <c r="A22" t="inlineStr">
        <is>
          <t>F3_EMP_BRECHA_África_completo_2025</t>
        </is>
      </c>
      <c r="B22" s="2" t="n">
        <v>-13.5</v>
      </c>
      <c r="C22" s="2" t="n">
        <v>-16.2</v>
      </c>
      <c r="D22" s="2" t="n">
        <v>-10.7</v>
      </c>
      <c r="E22" t="inlineStr">
        <is>
          <t>pp</t>
        </is>
      </c>
      <c r="F22" t="inlineStr">
        <is>
          <t>C4</t>
        </is>
      </c>
      <c r="H22" t="inlineStr">
        <is>
          <t>2025</t>
        </is>
      </c>
      <c r="I22" t="inlineStr">
        <is>
          <t>España</t>
        </is>
      </c>
      <c r="J22" t="inlineStr">
        <is>
          <t>África</t>
        </is>
      </c>
      <c r="K22" t="inlineStr">
        <is>
          <t>EPA (INE, microdatos trimestrales)</t>
        </is>
      </c>
      <c r="L22" t="inlineStr">
        <is>
          <t>Brecha de tasa de empleo 16-64 frente a nacidos en España (completo)</t>
        </is>
      </c>
    </row>
    <row r="23">
      <c r="A23" t="inlineStr">
        <is>
          <t>F3_EMP_BRECHA_África_edad_y_sexo_2025</t>
        </is>
      </c>
      <c r="B23" s="2" t="n">
        <v>-22.2</v>
      </c>
      <c r="C23" s="2" t="n">
        <v>-24.6</v>
      </c>
      <c r="D23" s="2" t="n">
        <v>-19.7</v>
      </c>
      <c r="E23" t="inlineStr">
        <is>
          <t>pp</t>
        </is>
      </c>
      <c r="F23" t="inlineStr">
        <is>
          <t>C4</t>
        </is>
      </c>
      <c r="H23" t="inlineStr">
        <is>
          <t>2025</t>
        </is>
      </c>
      <c r="I23" t="inlineStr">
        <is>
          <t>España</t>
        </is>
      </c>
      <c r="J23" t="inlineStr">
        <is>
          <t>África</t>
        </is>
      </c>
      <c r="K23" t="inlineStr">
        <is>
          <t>EPA (INE, microdatos trimestrales)</t>
        </is>
      </c>
      <c r="L23" t="inlineStr">
        <is>
          <t>Brecha de tasa de empleo 16-64 frente a nacidos en España (edad y sexo)</t>
        </is>
      </c>
    </row>
    <row r="24">
      <c r="A24" t="inlineStr">
        <is>
          <t>F3_EMP_CONTRIB_FUERA_2014_2025</t>
        </is>
      </c>
      <c r="B24" s="2" t="n">
        <v>55.6</v>
      </c>
      <c r="C24" s="2" t="n"/>
      <c r="D24" s="2" t="n"/>
      <c r="E24" t="inlineStr">
        <is>
          <t>% del aumento</t>
        </is>
      </c>
      <c r="F24" t="inlineStr">
        <is>
          <t>C1</t>
        </is>
      </c>
      <c r="H24" t="inlineStr">
        <is>
          <t>2014-2025</t>
        </is>
      </c>
      <c r="I24" t="inlineStr">
        <is>
          <t>España</t>
        </is>
      </c>
      <c r="J24" t="inlineStr">
        <is>
          <t>nacidos fuera</t>
        </is>
      </c>
      <c r="K24" t="inlineStr">
        <is>
          <t>EPA (INE, microdatos trimestrales)</t>
        </is>
      </c>
      <c r="L24" t="inlineStr">
        <is>
          <t>Parte del aumento de la ocupación 2014-2025 que corresponde a nacidos fuera de España (contabilidad, no causal)</t>
        </is>
      </c>
    </row>
    <row r="25">
      <c r="A25" t="inlineStr">
        <is>
          <t>F3_EMP_CONTRIB_HORAS_FUERA_2014_2025</t>
        </is>
      </c>
      <c r="B25" s="2" t="n">
        <v>71.8</v>
      </c>
      <c r="C25" s="2" t="n"/>
      <c r="D25" s="2" t="n"/>
      <c r="E25" t="inlineStr">
        <is>
          <t>% del aumento</t>
        </is>
      </c>
      <c r="F25" t="inlineStr">
        <is>
          <t>C1</t>
        </is>
      </c>
      <c r="H25" t="inlineStr">
        <is>
          <t>2014-2025</t>
        </is>
      </c>
      <c r="I25" t="inlineStr">
        <is>
          <t>España</t>
        </is>
      </c>
      <c r="J25" t="inlineStr">
        <is>
          <t>nacidos fuera</t>
        </is>
      </c>
      <c r="K25" t="inlineStr">
        <is>
          <t>EPA (INE, microdatos trimestrales)</t>
        </is>
      </c>
      <c r="L25" t="inlineStr">
        <is>
          <t>Parte del aumento de las horas efectivas semanales 2014-2025 de nacidos fuera</t>
        </is>
      </c>
    </row>
    <row r="26">
      <c r="A26" t="inlineStr">
        <is>
          <t>F3_EMP_EU_ES_BRECHA_2025</t>
        </is>
      </c>
      <c r="B26" s="2" t="n">
        <v>-3.7</v>
      </c>
      <c r="C26" s="2" t="n"/>
      <c r="D26" s="2" t="n"/>
      <c r="E26" t="inlineStr">
        <is>
          <t>pp</t>
        </is>
      </c>
      <c r="F26" t="inlineStr">
        <is>
          <t>C1</t>
        </is>
      </c>
      <c r="H26" t="inlineStr">
        <is>
          <t>2025</t>
        </is>
      </c>
      <c r="I26" t="inlineStr">
        <is>
          <t>España</t>
        </is>
      </c>
      <c r="J26" t="inlineStr">
        <is>
          <t>nacidos fuera</t>
        </is>
      </c>
      <c r="K26" t="inlineStr">
        <is>
          <t>Eurostat lfsa_ergacob</t>
        </is>
      </c>
      <c r="L26" t="inlineStr">
        <is>
          <t>Brecha de tasa de empleo 20-64 nacidos fuera menos nativos en España (Eurostat, segunda fuente)</t>
        </is>
      </c>
    </row>
    <row r="27">
      <c r="A27" t="inlineStr">
        <is>
          <t>F3_EMP_EU_UE27_BRECHA_2025</t>
        </is>
      </c>
      <c r="B27" s="2" t="n">
        <v>-6.4</v>
      </c>
      <c r="C27" s="2" t="n"/>
      <c r="D27" s="2" t="n"/>
      <c r="E27" t="inlineStr">
        <is>
          <t>pp</t>
        </is>
      </c>
      <c r="F27" t="inlineStr">
        <is>
          <t>C1</t>
        </is>
      </c>
      <c r="H27" t="inlineStr">
        <is>
          <t>2025</t>
        </is>
      </c>
      <c r="I27" t="inlineStr">
        <is>
          <t>UE-27</t>
        </is>
      </c>
      <c r="J27" t="inlineStr">
        <is>
          <t>nacidos fuera</t>
        </is>
      </c>
      <c r="K27" t="inlineStr">
        <is>
          <t>Eurostat lfsa_ergacob</t>
        </is>
      </c>
      <c r="L27" t="inlineStr">
        <is>
          <t>Brecha de tasa de empleo 20-64 nacidos fuera menos nativos en la UE-27</t>
        </is>
      </c>
    </row>
    <row r="28">
      <c r="A28" t="inlineStr">
        <is>
          <t>F3_EMP_PARO_América Latina_2025</t>
        </is>
      </c>
      <c r="B28" s="2" t="n">
        <v>13.1</v>
      </c>
      <c r="C28" s="2" t="n"/>
      <c r="D28" s="2" t="n"/>
      <c r="E28" t="inlineStr">
        <is>
          <t>%</t>
        </is>
      </c>
      <c r="F28" t="inlineStr">
        <is>
          <t>C1</t>
        </is>
      </c>
      <c r="H28" t="inlineStr">
        <is>
          <t>2025</t>
        </is>
      </c>
      <c r="I28" t="inlineStr">
        <is>
          <t>España</t>
        </is>
      </c>
      <c r="J28" t="inlineStr">
        <is>
          <t>América Latina</t>
        </is>
      </c>
      <c r="K28" t="inlineStr">
        <is>
          <t>EPA (INE, microdatos trimestrales)</t>
        </is>
      </c>
      <c r="L28" t="inlineStr">
        <is>
          <t>Tasa de paro, grupo América Latina</t>
        </is>
      </c>
    </row>
    <row r="29">
      <c r="A29" t="inlineStr">
        <is>
          <t>F3_EMP_PARO_Asia_2025</t>
        </is>
      </c>
      <c r="B29" s="2" t="n">
        <v>8.9</v>
      </c>
      <c r="C29" s="2" t="n"/>
      <c r="D29" s="2" t="n"/>
      <c r="E29" t="inlineStr">
        <is>
          <t>%</t>
        </is>
      </c>
      <c r="F29" t="inlineStr">
        <is>
          <t>C1</t>
        </is>
      </c>
      <c r="H29" t="inlineStr">
        <is>
          <t>2025</t>
        </is>
      </c>
      <c r="I29" t="inlineStr">
        <is>
          <t>España</t>
        </is>
      </c>
      <c r="J29" t="inlineStr">
        <is>
          <t>Asia</t>
        </is>
      </c>
      <c r="K29" t="inlineStr">
        <is>
          <t>EPA (INE, microdatos trimestrales)</t>
        </is>
      </c>
      <c r="L29" t="inlineStr">
        <is>
          <t>Tasa de paro, grupo Asia</t>
        </is>
      </c>
    </row>
    <row r="30">
      <c r="A30" t="inlineStr">
        <is>
          <t>F3_EMP_PARO_España_2025</t>
        </is>
      </c>
      <c r="B30" s="2" t="n">
        <v>9.4</v>
      </c>
      <c r="C30" s="2" t="n"/>
      <c r="D30" s="2" t="n"/>
      <c r="E30" t="inlineStr">
        <is>
          <t>%</t>
        </is>
      </c>
      <c r="F30" t="inlineStr">
        <is>
          <t>C1</t>
        </is>
      </c>
      <c r="H30" t="inlineStr">
        <is>
          <t>2025</t>
        </is>
      </c>
      <c r="I30" t="inlineStr">
        <is>
          <t>España</t>
        </is>
      </c>
      <c r="J30" t="inlineStr">
        <is>
          <t>España</t>
        </is>
      </c>
      <c r="K30" t="inlineStr">
        <is>
          <t>EPA (INE, microdatos trimestrales)</t>
        </is>
      </c>
      <c r="L30" t="inlineStr">
        <is>
          <t>Tasa de paro, grupo España</t>
        </is>
      </c>
    </row>
    <row r="31">
      <c r="A31" t="inlineStr">
        <is>
          <t>F3_EMP_PARO_FUERA_2025</t>
        </is>
      </c>
      <c r="B31" s="2" t="n">
        <v>14</v>
      </c>
      <c r="C31" s="2" t="n"/>
      <c r="D31" s="2" t="n"/>
      <c r="E31" t="inlineStr">
        <is>
          <t>%</t>
        </is>
      </c>
      <c r="F31" t="inlineStr">
        <is>
          <t>C1</t>
        </is>
      </c>
      <c r="H31" t="inlineStr">
        <is>
          <t>2025</t>
        </is>
      </c>
      <c r="I31" t="inlineStr">
        <is>
          <t>España</t>
        </is>
      </c>
      <c r="J31" t="inlineStr">
        <is>
          <t>nacidos fuera</t>
        </is>
      </c>
      <c r="K31" t="inlineStr">
        <is>
          <t>EPA (INE, microdatos trimestrales)</t>
        </is>
      </c>
      <c r="L31" t="inlineStr">
        <is>
          <t>Tasa de paro, nacidos fuera de España</t>
        </is>
      </c>
    </row>
    <row r="32">
      <c r="A32" t="inlineStr">
        <is>
          <t>F3_EMP_PARO_Resto_2025</t>
        </is>
      </c>
      <c r="B32" s="2" t="n">
        <v>15.6</v>
      </c>
      <c r="C32" s="2" t="n"/>
      <c r="D32" s="2" t="n"/>
      <c r="E32" t="inlineStr">
        <is>
          <t>%</t>
        </is>
      </c>
      <c r="F32" t="inlineStr">
        <is>
          <t>C1</t>
        </is>
      </c>
      <c r="H32" t="inlineStr">
        <is>
          <t>2025</t>
        </is>
      </c>
      <c r="I32" t="inlineStr">
        <is>
          <t>España</t>
        </is>
      </c>
      <c r="J32" t="inlineStr">
        <is>
          <t>Resto</t>
        </is>
      </c>
      <c r="K32" t="inlineStr">
        <is>
          <t>EPA (INE, microdatos trimestrales)</t>
        </is>
      </c>
      <c r="L32" t="inlineStr">
        <is>
          <t>Tasa de paro, grupo Resto</t>
        </is>
      </c>
    </row>
    <row r="33">
      <c r="A33" t="inlineStr">
        <is>
          <t>F3_EMP_PARO_UE-13 y otros de Europa_2025</t>
        </is>
      </c>
      <c r="B33" s="2" t="n">
        <v>12.3</v>
      </c>
      <c r="C33" s="2" t="n"/>
      <c r="D33" s="2" t="n"/>
      <c r="E33" t="inlineStr">
        <is>
          <t>%</t>
        </is>
      </c>
      <c r="F33" t="inlineStr">
        <is>
          <t>C1</t>
        </is>
      </c>
      <c r="H33" t="inlineStr">
        <is>
          <t>2025</t>
        </is>
      </c>
      <c r="I33" t="inlineStr">
        <is>
          <t>España</t>
        </is>
      </c>
      <c r="J33" t="inlineStr">
        <is>
          <t>UE-13 y otros de Europa</t>
        </is>
      </c>
      <c r="K33" t="inlineStr">
        <is>
          <t>EPA (INE, microdatos trimestrales)</t>
        </is>
      </c>
      <c r="L33" t="inlineStr">
        <is>
          <t>Tasa de paro, grupo UE-13 y otros de Europa</t>
        </is>
      </c>
    </row>
    <row r="34">
      <c r="A34" t="inlineStr">
        <is>
          <t>F3_EMP_PARO_UE-14_2025</t>
        </is>
      </c>
      <c r="B34" s="2" t="n">
        <v>8.6</v>
      </c>
      <c r="C34" s="2" t="n"/>
      <c r="D34" s="2" t="n"/>
      <c r="E34" t="inlineStr">
        <is>
          <t>%</t>
        </is>
      </c>
      <c r="F34" t="inlineStr">
        <is>
          <t>C1</t>
        </is>
      </c>
      <c r="H34" t="inlineStr">
        <is>
          <t>2025</t>
        </is>
      </c>
      <c r="I34" t="inlineStr">
        <is>
          <t>España</t>
        </is>
      </c>
      <c r="J34" t="inlineStr">
        <is>
          <t>UE-14</t>
        </is>
      </c>
      <c r="K34" t="inlineStr">
        <is>
          <t>EPA (INE, microdatos trimestrales)</t>
        </is>
      </c>
      <c r="L34" t="inlineStr">
        <is>
          <t>Tasa de paro, grupo UE-14</t>
        </is>
      </c>
    </row>
    <row r="35">
      <c r="A35" t="inlineStr">
        <is>
          <t>F3_EMP_PARO_África_2025</t>
        </is>
      </c>
      <c r="B35" s="2" t="n">
        <v>23.1</v>
      </c>
      <c r="C35" s="2" t="n"/>
      <c r="D35" s="2" t="n"/>
      <c r="E35" t="inlineStr">
        <is>
          <t>%</t>
        </is>
      </c>
      <c r="F35" t="inlineStr">
        <is>
          <t>C1</t>
        </is>
      </c>
      <c r="H35" t="inlineStr">
        <is>
          <t>2025</t>
        </is>
      </c>
      <c r="I35" t="inlineStr">
        <is>
          <t>España</t>
        </is>
      </c>
      <c r="J35" t="inlineStr">
        <is>
          <t>África</t>
        </is>
      </c>
      <c r="K35" t="inlineStr">
        <is>
          <t>EPA (INE, microdatos trimestrales)</t>
        </is>
      </c>
      <c r="L35" t="inlineStr">
        <is>
          <t>Tasa de paro, grupo África</t>
        </is>
      </c>
    </row>
    <row r="36">
      <c r="A36" t="inlineStr">
        <is>
          <t>F3_EMP_TASA_América Latina_2025</t>
        </is>
      </c>
      <c r="B36" s="2" t="n">
        <v>71.7</v>
      </c>
      <c r="C36" s="2" t="n"/>
      <c r="D36" s="2" t="n"/>
      <c r="E36" t="inlineStr">
        <is>
          <t>% (16-64)</t>
        </is>
      </c>
      <c r="F36" t="inlineStr">
        <is>
          <t>C1</t>
        </is>
      </c>
      <c r="H36" t="inlineStr">
        <is>
          <t>2025</t>
        </is>
      </c>
      <c r="I36" t="inlineStr">
        <is>
          <t>España</t>
        </is>
      </c>
      <c r="J36" t="inlineStr">
        <is>
          <t>América Latina</t>
        </is>
      </c>
      <c r="K36" t="inlineStr">
        <is>
          <t>EPA (INE, microdatos trimestrales)</t>
        </is>
      </c>
      <c r="L36" t="inlineStr">
        <is>
          <t>Tasa de empleo 16-64, nacidos en América Latina</t>
        </is>
      </c>
    </row>
    <row r="37">
      <c r="A37" t="inlineStr">
        <is>
          <t>F3_EMP_TASA_Asia_2025</t>
        </is>
      </c>
      <c r="B37" s="2" t="n">
        <v>68.40000000000001</v>
      </c>
      <c r="C37" s="2" t="n"/>
      <c r="D37" s="2" t="n"/>
      <c r="E37" t="inlineStr">
        <is>
          <t>% (16-64)</t>
        </is>
      </c>
      <c r="F37" t="inlineStr">
        <is>
          <t>C1</t>
        </is>
      </c>
      <c r="H37" t="inlineStr">
        <is>
          <t>2025</t>
        </is>
      </c>
      <c r="I37" t="inlineStr">
        <is>
          <t>España</t>
        </is>
      </c>
      <c r="J37" t="inlineStr">
        <is>
          <t>Asia</t>
        </is>
      </c>
      <c r="K37" t="inlineStr">
        <is>
          <t>EPA (INE, microdatos trimestrales)</t>
        </is>
      </c>
      <c r="L37" t="inlineStr">
        <is>
          <t>Tasa de empleo 16-64, nacidos en Asia</t>
        </is>
      </c>
    </row>
    <row r="38">
      <c r="A38" t="inlineStr">
        <is>
          <t>F3_EMP_TASA_España_2025</t>
        </is>
      </c>
      <c r="B38" s="2" t="n">
        <v>68.40000000000001</v>
      </c>
      <c r="C38" s="2" t="n"/>
      <c r="D38" s="2" t="n"/>
      <c r="E38" t="inlineStr">
        <is>
          <t>% (16-64)</t>
        </is>
      </c>
      <c r="F38" t="inlineStr">
        <is>
          <t>C1</t>
        </is>
      </c>
      <c r="H38" t="inlineStr">
        <is>
          <t>2025</t>
        </is>
      </c>
      <c r="I38" t="inlineStr">
        <is>
          <t>España</t>
        </is>
      </c>
      <c r="J38" t="inlineStr">
        <is>
          <t>España</t>
        </is>
      </c>
      <c r="K38" t="inlineStr">
        <is>
          <t>EPA (INE, microdatos trimestrales)</t>
        </is>
      </c>
      <c r="L38" t="inlineStr">
        <is>
          <t>Tasa de empleo 16-64, nacidos en España</t>
        </is>
      </c>
    </row>
    <row r="39">
      <c r="A39" t="inlineStr">
        <is>
          <t>F3_EMP_TASA_FUERA_2025</t>
        </is>
      </c>
      <c r="B39" s="2" t="n">
        <v>67.3</v>
      </c>
      <c r="C39" s="2" t="n"/>
      <c r="D39" s="2" t="n"/>
      <c r="E39" t="inlineStr">
        <is>
          <t>% (16-64)</t>
        </is>
      </c>
      <c r="F39" t="inlineStr">
        <is>
          <t>C1</t>
        </is>
      </c>
      <c r="H39" t="inlineStr">
        <is>
          <t>2025</t>
        </is>
      </c>
      <c r="I39" t="inlineStr">
        <is>
          <t>España</t>
        </is>
      </c>
      <c r="J39" t="inlineStr">
        <is>
          <t>nacidos fuera</t>
        </is>
      </c>
      <c r="K39" t="inlineStr">
        <is>
          <t>EPA (INE, microdatos trimestrales)</t>
        </is>
      </c>
      <c r="L39" t="inlineStr">
        <is>
          <t>Tasa de empleo 16-64, nacidos fuera de España</t>
        </is>
      </c>
    </row>
    <row r="40">
      <c r="A40" t="inlineStr">
        <is>
          <t>F3_EMP_TASA_Resto_2025</t>
        </is>
      </c>
      <c r="B40" s="2" t="n">
        <v>61</v>
      </c>
      <c r="C40" s="2" t="n"/>
      <c r="D40" s="2" t="n"/>
      <c r="E40" t="inlineStr">
        <is>
          <t>% (16-64)</t>
        </is>
      </c>
      <c r="F40" t="inlineStr">
        <is>
          <t>C1</t>
        </is>
      </c>
      <c r="H40" t="inlineStr">
        <is>
          <t>2025</t>
        </is>
      </c>
      <c r="I40" t="inlineStr">
        <is>
          <t>España</t>
        </is>
      </c>
      <c r="J40" t="inlineStr">
        <is>
          <t>Resto</t>
        </is>
      </c>
      <c r="K40" t="inlineStr">
        <is>
          <t>EPA (INE, microdatos trimestrales)</t>
        </is>
      </c>
      <c r="L40" t="inlineStr">
        <is>
          <t>Tasa de empleo 16-64, nacidos en Resto</t>
        </is>
      </c>
    </row>
    <row r="41">
      <c r="A41" t="inlineStr">
        <is>
          <t>F3_EMP_TASA_UE-13 y otros de Europa_2025</t>
        </is>
      </c>
      <c r="B41" s="2" t="n">
        <v>69.40000000000001</v>
      </c>
      <c r="C41" s="2" t="n"/>
      <c r="D41" s="2" t="n"/>
      <c r="E41" t="inlineStr">
        <is>
          <t>% (16-64)</t>
        </is>
      </c>
      <c r="F41" t="inlineStr">
        <is>
          <t>C1</t>
        </is>
      </c>
      <c r="H41" t="inlineStr">
        <is>
          <t>2025</t>
        </is>
      </c>
      <c r="I41" t="inlineStr">
        <is>
          <t>España</t>
        </is>
      </c>
      <c r="J41" t="inlineStr">
        <is>
          <t>UE-13 y otros de Europa</t>
        </is>
      </c>
      <c r="K41" t="inlineStr">
        <is>
          <t>EPA (INE, microdatos trimestrales)</t>
        </is>
      </c>
      <c r="L41" t="inlineStr">
        <is>
          <t>Tasa de empleo 16-64, nacidos en UE-13 y otros de Europa</t>
        </is>
      </c>
    </row>
    <row r="42">
      <c r="A42" t="inlineStr">
        <is>
          <t>F3_EMP_TASA_UE-14_2025</t>
        </is>
      </c>
      <c r="B42" s="2" t="n">
        <v>73.3</v>
      </c>
      <c r="C42" s="2" t="n"/>
      <c r="D42" s="2" t="n"/>
      <c r="E42" t="inlineStr">
        <is>
          <t>% (16-64)</t>
        </is>
      </c>
      <c r="F42" t="inlineStr">
        <is>
          <t>C1</t>
        </is>
      </c>
      <c r="H42" t="inlineStr">
        <is>
          <t>2025</t>
        </is>
      </c>
      <c r="I42" t="inlineStr">
        <is>
          <t>España</t>
        </is>
      </c>
      <c r="J42" t="inlineStr">
        <is>
          <t>UE-14</t>
        </is>
      </c>
      <c r="K42" t="inlineStr">
        <is>
          <t>EPA (INE, microdatos trimestrales)</t>
        </is>
      </c>
      <c r="L42" t="inlineStr">
        <is>
          <t>Tasa de empleo 16-64, nacidos en UE-14</t>
        </is>
      </c>
    </row>
    <row r="43">
      <c r="A43" t="inlineStr">
        <is>
          <t>F3_EMP_TASA_África_2025</t>
        </is>
      </c>
      <c r="B43" s="2" t="n">
        <v>50.8</v>
      </c>
      <c r="C43" s="2" t="n"/>
      <c r="D43" s="2" t="n"/>
      <c r="E43" t="inlineStr">
        <is>
          <t>% (16-64)</t>
        </is>
      </c>
      <c r="F43" t="inlineStr">
        <is>
          <t>C1</t>
        </is>
      </c>
      <c r="H43" t="inlineStr">
        <is>
          <t>2025</t>
        </is>
      </c>
      <c r="I43" t="inlineStr">
        <is>
          <t>España</t>
        </is>
      </c>
      <c r="J43" t="inlineStr">
        <is>
          <t>África</t>
        </is>
      </c>
      <c r="K43" t="inlineStr">
        <is>
          <t>EPA (INE, microdatos trimestrales)</t>
        </is>
      </c>
      <c r="L43" t="inlineStr">
        <is>
          <t>Tasa de empleo 16-64, nacidos en África</t>
        </is>
      </c>
    </row>
    <row r="44">
      <c r="A44" t="inlineStr">
        <is>
          <t>F3_POB_65MAS_España_2025</t>
        </is>
      </c>
      <c r="B44" s="2" t="n">
        <v>23.5</v>
      </c>
      <c r="C44" s="2" t="n"/>
      <c r="D44" s="2" t="n"/>
      <c r="E44" t="inlineStr">
        <is>
          <t>% del grupo</t>
        </is>
      </c>
      <c r="F44" t="inlineStr">
        <is>
          <t>C1</t>
        </is>
      </c>
      <c r="H44" t="inlineStr">
        <is>
          <t>1-1-2025</t>
        </is>
      </c>
      <c r="I44" t="inlineStr">
        <is>
          <t>España</t>
        </is>
      </c>
      <c r="J44" t="inlineStr">
        <is>
          <t>España</t>
        </is>
      </c>
      <c r="K44" t="inlineStr">
        <is>
          <t>Estadística Continua de Población (INE)</t>
        </is>
      </c>
      <c r="L44" t="inlineStr">
        <is>
          <t>Población de 65 y más años</t>
        </is>
      </c>
    </row>
    <row r="45">
      <c r="A45" t="inlineStr">
        <is>
          <t>F3_POB_65MAS_nacidos fuera_2025</t>
        </is>
      </c>
      <c r="B45" s="2" t="n">
        <v>9.199999999999999</v>
      </c>
      <c r="C45" s="2" t="n"/>
      <c r="D45" s="2" t="n"/>
      <c r="E45" t="inlineStr">
        <is>
          <t>% del grupo</t>
        </is>
      </c>
      <c r="F45" t="inlineStr">
        <is>
          <t>C1</t>
        </is>
      </c>
      <c r="H45" t="inlineStr">
        <is>
          <t>1-1-2025</t>
        </is>
      </c>
      <c r="I45" t="inlineStr">
        <is>
          <t>España</t>
        </is>
      </c>
      <c r="J45" t="inlineStr">
        <is>
          <t>nacidos fuera</t>
        </is>
      </c>
      <c r="K45" t="inlineStr">
        <is>
          <t>Estadística Continua de Población (INE)</t>
        </is>
      </c>
      <c r="L45" t="inlineStr">
        <is>
          <t>Población de 65 y más años</t>
        </is>
      </c>
    </row>
    <row r="46">
      <c r="A46" t="inlineStr">
        <is>
          <t>F3_POB_CUOTA_América Latina_2022</t>
        </is>
      </c>
      <c r="B46" s="2" t="n">
        <v>7.02</v>
      </c>
      <c r="C46" s="2" t="n"/>
      <c r="D46" s="2" t="n"/>
      <c r="E46" t="inlineStr">
        <is>
          <t>% de la población</t>
        </is>
      </c>
      <c r="F46" t="inlineStr">
        <is>
          <t>C1</t>
        </is>
      </c>
      <c r="H46" t="inlineStr">
        <is>
          <t>1-1-2022</t>
        </is>
      </c>
      <c r="I46" t="inlineStr">
        <is>
          <t>España</t>
        </is>
      </c>
      <c r="J46" t="inlineStr">
        <is>
          <t>América Latina</t>
        </is>
      </c>
      <c r="K46" t="inlineStr">
        <is>
          <t>Padrón continuo (INE)</t>
        </is>
      </c>
      <c r="L46" t="inlineStr">
        <is>
          <t>Cuota de población del grupo América Latina</t>
        </is>
      </c>
    </row>
    <row r="47">
      <c r="A47" t="inlineStr">
        <is>
          <t>F3_POB_CUOTA_Asia_2022</t>
        </is>
      </c>
      <c r="B47" s="2" t="n">
        <v>1.11</v>
      </c>
      <c r="C47" s="2" t="n"/>
      <c r="D47" s="2" t="n"/>
      <c r="E47" t="inlineStr">
        <is>
          <t>% de la población</t>
        </is>
      </c>
      <c r="F47" t="inlineStr">
        <is>
          <t>C1</t>
        </is>
      </c>
      <c r="H47" t="inlineStr">
        <is>
          <t>1-1-2022</t>
        </is>
      </c>
      <c r="I47" t="inlineStr">
        <is>
          <t>España</t>
        </is>
      </c>
      <c r="J47" t="inlineStr">
        <is>
          <t>Asia</t>
        </is>
      </c>
      <c r="K47" t="inlineStr">
        <is>
          <t>Padrón continuo (INE)</t>
        </is>
      </c>
      <c r="L47" t="inlineStr">
        <is>
          <t>Cuota de población del grupo Asia</t>
        </is>
      </c>
    </row>
    <row r="48">
      <c r="A48" t="inlineStr">
        <is>
          <t>F3_POB_CUOTA_España_2022</t>
        </is>
      </c>
      <c r="B48" s="2" t="n">
        <v>84.13</v>
      </c>
      <c r="C48" s="2" t="n"/>
      <c r="D48" s="2" t="n"/>
      <c r="E48" t="inlineStr">
        <is>
          <t>% de la población</t>
        </is>
      </c>
      <c r="F48" t="inlineStr">
        <is>
          <t>C1</t>
        </is>
      </c>
      <c r="H48" t="inlineStr">
        <is>
          <t>1-1-2022</t>
        </is>
      </c>
      <c r="I48" t="inlineStr">
        <is>
          <t>España</t>
        </is>
      </c>
      <c r="J48" t="inlineStr">
        <is>
          <t>España</t>
        </is>
      </c>
      <c r="K48" t="inlineStr">
        <is>
          <t>Padrón continuo (INE)</t>
        </is>
      </c>
      <c r="L48" t="inlineStr">
        <is>
          <t>Cuota de población del grupo España</t>
        </is>
      </c>
    </row>
    <row r="49">
      <c r="A49" t="inlineStr">
        <is>
          <t>F3_POB_CUOTA_Magreb_2022</t>
        </is>
      </c>
      <c r="B49" s="2" t="n">
        <v>2.26</v>
      </c>
      <c r="C49" s="2" t="n"/>
      <c r="D49" s="2" t="n"/>
      <c r="E49" t="inlineStr">
        <is>
          <t>% de la población</t>
        </is>
      </c>
      <c r="F49" t="inlineStr">
        <is>
          <t>C1</t>
        </is>
      </c>
      <c r="H49" t="inlineStr">
        <is>
          <t>1-1-2022</t>
        </is>
      </c>
      <c r="I49" t="inlineStr">
        <is>
          <t>España</t>
        </is>
      </c>
      <c r="J49" t="inlineStr">
        <is>
          <t>Magreb</t>
        </is>
      </c>
      <c r="K49" t="inlineStr">
        <is>
          <t>Padrón continuo (INE)</t>
        </is>
      </c>
      <c r="L49" t="inlineStr">
        <is>
          <t>Cuota de población del grupo Magreb</t>
        </is>
      </c>
    </row>
    <row r="50">
      <c r="A50" t="inlineStr">
        <is>
          <t>F3_POB_CUOTA_Resto de África_2022</t>
        </is>
      </c>
      <c r="B50" s="2" t="n">
        <v>0.63</v>
      </c>
      <c r="C50" s="2" t="n"/>
      <c r="D50" s="2" t="n"/>
      <c r="E50" t="inlineStr">
        <is>
          <t>% de la población</t>
        </is>
      </c>
      <c r="F50" t="inlineStr">
        <is>
          <t>C1</t>
        </is>
      </c>
      <c r="H50" t="inlineStr">
        <is>
          <t>1-1-2022</t>
        </is>
      </c>
      <c r="I50" t="inlineStr">
        <is>
          <t>España</t>
        </is>
      </c>
      <c r="J50" t="inlineStr">
        <is>
          <t>Resto de África</t>
        </is>
      </c>
      <c r="K50" t="inlineStr">
        <is>
          <t>Padrón continuo (INE)</t>
        </is>
      </c>
      <c r="L50" t="inlineStr">
        <is>
          <t>Cuota de población del grupo Resto de África</t>
        </is>
      </c>
    </row>
    <row r="51">
      <c r="A51" t="inlineStr">
        <is>
          <t>F3_POB_CUOTA_Resto_2022</t>
        </is>
      </c>
      <c r="B51" s="2" t="n">
        <v>0.16</v>
      </c>
      <c r="C51" s="2" t="n"/>
      <c r="D51" s="2" t="n"/>
      <c r="E51" t="inlineStr">
        <is>
          <t>% de la población</t>
        </is>
      </c>
      <c r="F51" t="inlineStr">
        <is>
          <t>C1</t>
        </is>
      </c>
      <c r="H51" t="inlineStr">
        <is>
          <t>1-1-2022</t>
        </is>
      </c>
      <c r="I51" t="inlineStr">
        <is>
          <t>España</t>
        </is>
      </c>
      <c r="J51" t="inlineStr">
        <is>
          <t>Resto</t>
        </is>
      </c>
      <c r="K51" t="inlineStr">
        <is>
          <t>Padrón continuo (INE)</t>
        </is>
      </c>
      <c r="L51" t="inlineStr">
        <is>
          <t>Cuota de población del grupo Resto</t>
        </is>
      </c>
    </row>
    <row r="52">
      <c r="A52" t="inlineStr">
        <is>
          <t>F3_POB_CUOTA_UE-13 y otros de Europa_2022</t>
        </is>
      </c>
      <c r="B52" s="2" t="n">
        <v>2.38</v>
      </c>
      <c r="C52" s="2" t="n"/>
      <c r="D52" s="2" t="n"/>
      <c r="E52" t="inlineStr">
        <is>
          <t>% de la población</t>
        </is>
      </c>
      <c r="F52" t="inlineStr">
        <is>
          <t>C1</t>
        </is>
      </c>
      <c r="H52" t="inlineStr">
        <is>
          <t>1-1-2022</t>
        </is>
      </c>
      <c r="I52" t="inlineStr">
        <is>
          <t>España</t>
        </is>
      </c>
      <c r="J52" t="inlineStr">
        <is>
          <t>UE-13 y otros de Europa</t>
        </is>
      </c>
      <c r="K52" t="inlineStr">
        <is>
          <t>Padrón continuo (INE)</t>
        </is>
      </c>
      <c r="L52" t="inlineStr">
        <is>
          <t>Cuota de población del grupo UE-13 y otros de Europa</t>
        </is>
      </c>
    </row>
    <row r="53">
      <c r="A53" t="inlineStr">
        <is>
          <t>F3_POB_CUOTA_UE-14_2022</t>
        </is>
      </c>
      <c r="B53" s="2" t="n">
        <v>2.31</v>
      </c>
      <c r="C53" s="2" t="n"/>
      <c r="D53" s="2" t="n"/>
      <c r="E53" t="inlineStr">
        <is>
          <t>% de la población</t>
        </is>
      </c>
      <c r="F53" t="inlineStr">
        <is>
          <t>C1</t>
        </is>
      </c>
      <c r="H53" t="inlineStr">
        <is>
          <t>1-1-2022</t>
        </is>
      </c>
      <c r="I53" t="inlineStr">
        <is>
          <t>España</t>
        </is>
      </c>
      <c r="J53" t="inlineStr">
        <is>
          <t>UE-14</t>
        </is>
      </c>
      <c r="K53" t="inlineStr">
        <is>
          <t>Padrón continuo (INE)</t>
        </is>
      </c>
      <c r="L53" t="inlineStr">
        <is>
          <t>Cuota de población del grupo UE-14</t>
        </is>
      </c>
    </row>
    <row r="54">
      <c r="A54" t="inlineStr">
        <is>
          <t>F3_POB_EDADMEDIA_España_2025</t>
        </is>
      </c>
      <c r="B54" s="2" t="n">
        <v>45.3</v>
      </c>
      <c r="C54" s="2" t="n"/>
      <c r="D54" s="2" t="n"/>
      <c r="E54" t="inlineStr">
        <is>
          <t>años</t>
        </is>
      </c>
      <c r="F54" t="inlineStr">
        <is>
          <t>C1</t>
        </is>
      </c>
      <c r="H54" t="inlineStr">
        <is>
          <t>1-1-2025</t>
        </is>
      </c>
      <c r="I54" t="inlineStr">
        <is>
          <t>España</t>
        </is>
      </c>
      <c r="J54" t="inlineStr">
        <is>
          <t>España</t>
        </is>
      </c>
      <c r="K54" t="inlineStr">
        <is>
          <t>Estadística Continua de Población (INE)</t>
        </is>
      </c>
      <c r="L54" t="inlineStr">
        <is>
          <t>Edad media aproximada (marcas de clase quinquenales)</t>
        </is>
      </c>
    </row>
    <row r="55">
      <c r="A55" t="inlineStr">
        <is>
          <t>F3_POB_EDADMEDIA_nacidos fuera_2025</t>
        </is>
      </c>
      <c r="B55" s="2" t="n">
        <v>41.2</v>
      </c>
      <c r="C55" s="2" t="n"/>
      <c r="D55" s="2" t="n"/>
      <c r="E55" t="inlineStr">
        <is>
          <t>años</t>
        </is>
      </c>
      <c r="F55" t="inlineStr">
        <is>
          <t>C1</t>
        </is>
      </c>
      <c r="H55" t="inlineStr">
        <is>
          <t>1-1-2025</t>
        </is>
      </c>
      <c r="I55" t="inlineStr">
        <is>
          <t>España</t>
        </is>
      </c>
      <c r="J55" t="inlineStr">
        <is>
          <t>nacidos fuera</t>
        </is>
      </c>
      <c r="K55" t="inlineStr">
        <is>
          <t>Estadística Continua de Población (INE)</t>
        </is>
      </c>
      <c r="L55" t="inlineStr">
        <is>
          <t>Edad media aproximada (marcas de clase quinquenales)</t>
        </is>
      </c>
    </row>
    <row r="56">
      <c r="A56" t="inlineStr">
        <is>
          <t>F3_POB_FUERA_ECP_2025</t>
        </is>
      </c>
      <c r="B56" s="2" t="n">
        <v>19.3</v>
      </c>
      <c r="C56" s="2" t="n"/>
      <c r="D56" s="2" t="n"/>
      <c r="E56" t="inlineStr">
        <is>
          <t>% de la población</t>
        </is>
      </c>
      <c r="F56" t="inlineStr">
        <is>
          <t>C1</t>
        </is>
      </c>
      <c r="H56" t="inlineStr">
        <is>
          <t>1-1-2025</t>
        </is>
      </c>
      <c r="I56" t="inlineStr">
        <is>
          <t>España</t>
        </is>
      </c>
      <c r="J56" t="inlineStr">
        <is>
          <t>nacidos fuera</t>
        </is>
      </c>
      <c r="K56" t="inlineStr">
        <is>
          <t>Estadística Continua de Población (INE)</t>
        </is>
      </c>
      <c r="L56" t="inlineStr">
        <is>
          <t>Población nacida fuera de España (ECP, segunda fuente)</t>
        </is>
      </c>
    </row>
    <row r="57">
      <c r="A57" t="inlineStr">
        <is>
          <t>F3_POB_FUERA_ES_EUROSTAT_2025</t>
        </is>
      </c>
      <c r="B57" s="2" t="n">
        <v>19.3</v>
      </c>
      <c r="C57" s="2" t="n"/>
      <c r="D57" s="2" t="n"/>
      <c r="E57" t="inlineStr">
        <is>
          <t>% de la población</t>
        </is>
      </c>
      <c r="F57" t="inlineStr">
        <is>
          <t>C1</t>
        </is>
      </c>
      <c r="H57" t="inlineStr">
        <is>
          <t>1-1-2025</t>
        </is>
      </c>
      <c r="I57" t="inlineStr">
        <is>
          <t>España</t>
        </is>
      </c>
      <c r="J57" t="inlineStr">
        <is>
          <t>nacidos fuera</t>
        </is>
      </c>
      <c r="K57" t="inlineStr">
        <is>
          <t>Eurostat migr_pop3ctb</t>
        </is>
      </c>
      <c r="L57" t="inlineStr">
        <is>
          <t>Población nacida fuera, España (Eurostat)</t>
        </is>
      </c>
    </row>
    <row r="58">
      <c r="A58" t="inlineStr">
        <is>
          <t>F3_POB_FUERA_ES_RANKING_2025</t>
        </is>
      </c>
      <c r="B58" s="2" t="n">
        <v>12</v>
      </c>
      <c r="C58" s="2" t="n"/>
      <c r="D58" s="2" t="n"/>
      <c r="E58" t="inlineStr">
        <is>
          <t>posición</t>
        </is>
      </c>
      <c r="F58" t="inlineStr">
        <is>
          <t>C1</t>
        </is>
      </c>
      <c r="H58" t="inlineStr">
        <is>
          <t>1-1-2025</t>
        </is>
      </c>
      <c r="I58" t="inlineStr">
        <is>
          <t>Europa</t>
        </is>
      </c>
      <c r="J58" t="inlineStr">
        <is>
          <t>nacidos fuera</t>
        </is>
      </c>
      <c r="K58" t="inlineStr">
        <is>
          <t>Eurostat migr_pop3ctb</t>
        </is>
      </c>
      <c r="L58" t="inlineStr">
        <is>
          <t>Posición de España por cuota de nacidos fuera entre 31 países europeos con dato</t>
        </is>
      </c>
    </row>
    <row r="59">
      <c r="A59" t="inlineStr">
        <is>
          <t>F3_POB_FUERA_PADRON_1998</t>
        </is>
      </c>
      <c r="B59" s="2" t="n">
        <v>2.9</v>
      </c>
      <c r="C59" s="2" t="n"/>
      <c r="D59" s="2" t="n"/>
      <c r="E59" t="inlineStr">
        <is>
          <t>% de la población</t>
        </is>
      </c>
      <c r="F59" t="inlineStr">
        <is>
          <t>C1</t>
        </is>
      </c>
      <c r="H59" t="inlineStr">
        <is>
          <t>1-1-1998</t>
        </is>
      </c>
      <c r="I59" t="inlineStr">
        <is>
          <t>España</t>
        </is>
      </c>
      <c r="J59" t="inlineStr">
        <is>
          <t>nacidos fuera</t>
        </is>
      </c>
      <c r="K59" t="inlineStr">
        <is>
          <t>Padrón continuo (INE)</t>
        </is>
      </c>
      <c r="L59" t="inlineStr">
        <is>
          <t>Población nacida fuera de España (padrón)</t>
        </is>
      </c>
    </row>
    <row r="60">
      <c r="A60" t="inlineStr">
        <is>
          <t>F3_POB_FUERA_PADRON_2022</t>
        </is>
      </c>
      <c r="B60" s="2" t="n">
        <v>15.9</v>
      </c>
      <c r="C60" s="2" t="n"/>
      <c r="D60" s="2" t="n"/>
      <c r="E60" t="inlineStr">
        <is>
          <t>% de la población</t>
        </is>
      </c>
      <c r="F60" t="inlineStr">
        <is>
          <t>C1</t>
        </is>
      </c>
      <c r="H60" t="inlineStr">
        <is>
          <t>1-1-2022</t>
        </is>
      </c>
      <c r="I60" t="inlineStr">
        <is>
          <t>España</t>
        </is>
      </c>
      <c r="J60" t="inlineStr">
        <is>
          <t>nacidos fuera</t>
        </is>
      </c>
      <c r="K60" t="inlineStr">
        <is>
          <t>Padrón continuo (INE)</t>
        </is>
      </c>
      <c r="L60" t="inlineStr">
        <is>
          <t>Población nacida fuera de España (padrón)</t>
        </is>
      </c>
    </row>
    <row r="61">
      <c r="A61" t="inlineStr">
        <is>
          <t>F3_POB_FUERA_PROV_MAX_2022</t>
        </is>
      </c>
      <c r="B61" s="2" t="n">
        <v>24.7</v>
      </c>
      <c r="C61" s="2" t="n"/>
      <c r="D61" s="2" t="n"/>
      <c r="E61" t="inlineStr">
        <is>
          <t>%</t>
        </is>
      </c>
      <c r="F61" t="inlineStr">
        <is>
          <t>C1</t>
        </is>
      </c>
      <c r="H61" t="inlineStr">
        <is>
          <t>1-1-2022</t>
        </is>
      </c>
      <c r="I61" t="inlineStr">
        <is>
          <t>provincia 07</t>
        </is>
      </c>
      <c r="J61" t="inlineStr">
        <is>
          <t>nacidos fuera</t>
        </is>
      </c>
      <c r="K61" t="inlineStr">
        <is>
          <t>Padrón continuo (INE)</t>
        </is>
      </c>
      <c r="L61" t="inlineStr">
        <is>
          <t>Provincia con mayor cuota de nacidos fuera (07)</t>
        </is>
      </c>
    </row>
    <row r="62">
      <c r="A62" t="inlineStr">
        <is>
          <t>F3_POB_FUERA_PROV_MIN_2022</t>
        </is>
      </c>
      <c r="B62" s="2" t="n">
        <v>3.9</v>
      </c>
      <c r="C62" s="2" t="n"/>
      <c r="D62" s="2" t="n"/>
      <c r="E62" t="inlineStr">
        <is>
          <t>%</t>
        </is>
      </c>
      <c r="F62" t="inlineStr">
        <is>
          <t>C1</t>
        </is>
      </c>
      <c r="H62" t="inlineStr">
        <is>
          <t>1-1-2022</t>
        </is>
      </c>
      <c r="I62" t="inlineStr">
        <is>
          <t>provincia 23</t>
        </is>
      </c>
      <c r="J62" t="inlineStr">
        <is>
          <t>nacidos fuera</t>
        </is>
      </c>
      <c r="K62" t="inlineStr">
        <is>
          <t>Padrón continuo (INE)</t>
        </is>
      </c>
      <c r="L62" t="inlineStr">
        <is>
          <t>Provincia con menor cuota de nacidos fuera (23)</t>
        </is>
      </c>
    </row>
    <row r="63">
      <c r="A63" t="inlineStr">
        <is>
          <t>F3_POB_FUERA_UE27_2025</t>
        </is>
      </c>
      <c r="B63" s="2" t="n">
        <v>14.4</v>
      </c>
      <c r="C63" s="2" t="n"/>
      <c r="D63" s="2" t="n"/>
      <c r="E63" t="inlineStr">
        <is>
          <t>% de la población</t>
        </is>
      </c>
      <c r="F63" t="inlineStr">
        <is>
          <t>C1</t>
        </is>
      </c>
      <c r="H63" t="inlineStr">
        <is>
          <t>1-1-2025</t>
        </is>
      </c>
      <c r="I63" t="inlineStr">
        <is>
          <t>UE-27</t>
        </is>
      </c>
      <c r="J63" t="inlineStr">
        <is>
          <t>nacidos fuera</t>
        </is>
      </c>
      <c r="K63" t="inlineStr">
        <is>
          <t>Eurostat migr_pop3ctb</t>
        </is>
      </c>
      <c r="L63" t="inlineStr">
        <is>
          <t>Población nacida fuera del país de residencia, UE-27</t>
        </is>
      </c>
    </row>
    <row r="64">
      <c r="A64" t="inlineStr">
        <is>
          <t>F3_POB_NACIONALIZADOS_2022</t>
        </is>
      </c>
      <c r="B64" s="2" t="n">
        <v>33.4</v>
      </c>
      <c r="C64" s="2" t="n"/>
      <c r="D64" s="2" t="n"/>
      <c r="E64" t="inlineStr">
        <is>
          <t>% de los nacidos fuera</t>
        </is>
      </c>
      <c r="F64" t="inlineStr">
        <is>
          <t>C1</t>
        </is>
      </c>
      <c r="H64" t="inlineStr">
        <is>
          <t>1-1-2022</t>
        </is>
      </c>
      <c r="I64" t="inlineStr">
        <is>
          <t>España</t>
        </is>
      </c>
      <c r="J64" t="inlineStr">
        <is>
          <t>nacidos fuera</t>
        </is>
      </c>
      <c r="K64" t="inlineStr">
        <is>
          <t>Padrón continuo (INE)</t>
        </is>
      </c>
      <c r="L64" t="inlineStr">
        <is>
          <t>Nacidos fuera con nacionalidad española (incluye hijos de españoles nacidos fuera)</t>
        </is>
      </c>
    </row>
    <row r="65">
      <c r="A65" t="inlineStr">
        <is>
          <t>F3_POB_RESID_0A4_2025</t>
        </is>
      </c>
      <c r="B65" s="2" t="n">
        <v>23.7</v>
      </c>
      <c r="C65" s="2" t="n"/>
      <c r="D65" s="2" t="n"/>
      <c r="E65" t="inlineStr">
        <is>
          <t>% de los nacidos fuera de 16+</t>
        </is>
      </c>
      <c r="F65" t="inlineStr">
        <is>
          <t>C1</t>
        </is>
      </c>
      <c r="H65" t="inlineStr">
        <is>
          <t>2025</t>
        </is>
      </c>
      <c r="I65" t="inlineStr">
        <is>
          <t>España</t>
        </is>
      </c>
      <c r="J65" t="inlineStr">
        <is>
          <t>nacidos fuera</t>
        </is>
      </c>
      <c r="K65" t="inlineStr">
        <is>
          <t>EPA (INE)</t>
        </is>
      </c>
      <c r="L65" t="inlineStr">
        <is>
          <t>Nacidos fuera con menos de 5 años de residencia en España</t>
        </is>
      </c>
    </row>
    <row r="66">
      <c r="A66" t="inlineStr">
        <is>
          <t>F3_POB_RESID_20MAS_2025</t>
        </is>
      </c>
      <c r="B66" s="2" t="n">
        <v>35.2</v>
      </c>
      <c r="C66" s="2" t="n"/>
      <c r="D66" s="2" t="n"/>
      <c r="E66" t="inlineStr">
        <is>
          <t>% de los nacidos fuera de 16+</t>
        </is>
      </c>
      <c r="F66" t="inlineStr">
        <is>
          <t>C1</t>
        </is>
      </c>
      <c r="H66" t="inlineStr">
        <is>
          <t>2025</t>
        </is>
      </c>
      <c r="I66" t="inlineStr">
        <is>
          <t>España</t>
        </is>
      </c>
      <c r="J66" t="inlineStr">
        <is>
          <t>nacidos fuera</t>
        </is>
      </c>
      <c r="K66" t="inlineStr">
        <is>
          <t>EPA (INE)</t>
        </is>
      </c>
      <c r="L66" t="inlineStr">
        <is>
          <t>Nacidos fuera con 20 o más años de residencia en España</t>
        </is>
      </c>
    </row>
    <row r="67">
      <c r="A67" t="inlineStr">
        <is>
          <t>F3_POB_SALDO_EXTERIOR_ESPANA_2021_2024</t>
        </is>
      </c>
      <c r="B67" s="2" t="n">
        <v>-0.124</v>
      </c>
      <c r="C67" s="2" t="n"/>
      <c r="D67" s="2" t="n"/>
      <c r="E67" t="inlineStr">
        <is>
          <t>millones</t>
        </is>
      </c>
      <c r="F67" t="inlineStr">
        <is>
          <t>C1</t>
        </is>
      </c>
      <c r="H67" t="inlineStr">
        <is>
          <t>2021-2024</t>
        </is>
      </c>
      <c r="I67" t="inlineStr">
        <is>
          <t>España</t>
        </is>
      </c>
      <c r="J67" t="inlineStr">
        <is>
          <t>España</t>
        </is>
      </c>
      <c r="K67" t="inlineStr">
        <is>
          <t>Estadística de Migraciones (INE)</t>
        </is>
      </c>
      <c r="L67" t="inlineStr">
        <is>
          <t>Saldo migratorio con el extranjero de nacidos en España, acumulado 2021-2024</t>
        </is>
      </c>
    </row>
    <row r="68">
      <c r="A68" t="inlineStr">
        <is>
          <t>F3_POB_SALDO_EXTERIOR_FUERA_2021_2024</t>
        </is>
      </c>
      <c r="B68" s="2" t="n">
        <v>2.31</v>
      </c>
      <c r="C68" s="2" t="n"/>
      <c r="D68" s="2" t="n"/>
      <c r="E68" t="inlineStr">
        <is>
          <t>millones</t>
        </is>
      </c>
      <c r="F68" t="inlineStr">
        <is>
          <t>C1</t>
        </is>
      </c>
      <c r="H68" t="inlineStr">
        <is>
          <t>2021-2024</t>
        </is>
      </c>
      <c r="I68" t="inlineStr">
        <is>
          <t>España</t>
        </is>
      </c>
      <c r="J68" t="inlineStr">
        <is>
          <t>nacidos fuera</t>
        </is>
      </c>
      <c r="K68" t="inlineStr">
        <is>
          <t>Estadística de Migraciones (INE)</t>
        </is>
      </c>
      <c r="L68" t="inlineStr">
        <is>
          <t>Saldo migratorio con el extranjero de nacidos fuera, acumulado 2021-2024</t>
        </is>
      </c>
    </row>
    <row r="69">
      <c r="A69" t="inlineStr">
        <is>
          <t>F3_PRE_BRECHA_perceptor_ayuda_vivienda_Resto_UE_completo</t>
        </is>
      </c>
      <c r="B69" s="2" t="n">
        <v>0.4</v>
      </c>
      <c r="C69" s="2" t="n">
        <v>-0.1</v>
      </c>
      <c r="D69" s="2" t="n">
        <v>1</v>
      </c>
      <c r="E69" t="inlineStr">
        <is>
          <t>pp</t>
        </is>
      </c>
      <c r="F69" t="inlineStr">
        <is>
          <t>C4</t>
        </is>
      </c>
      <c r="H69" t="inlineStr">
        <is>
          <t>2020-2024 (renta)</t>
        </is>
      </c>
      <c r="I69" t="inlineStr">
        <is>
          <t>España</t>
        </is>
      </c>
      <c r="J69" t="inlineStr">
        <is>
          <t>Resto UE</t>
        </is>
      </c>
      <c r="K69" t="inlineStr">
        <is>
          <t>ECV (INE, microdatos)</t>
        </is>
      </c>
      <c r="L69" t="inlineStr">
        <is>
          <t>Diferencia en la probabilidad de percibir (ayuda_vivienda) frente a nacidos en España (completo)</t>
        </is>
      </c>
    </row>
    <row r="70">
      <c r="A70" t="inlineStr">
        <is>
          <t>F3_PRE_BRECHA_perceptor_ayuda_vivienda_Resto_UE_edad_y_sexo</t>
        </is>
      </c>
      <c r="B70" s="2" t="n">
        <v>0.4</v>
      </c>
      <c r="C70" s="2" t="n">
        <v>-0.2</v>
      </c>
      <c r="D70" s="2" t="n">
        <v>1</v>
      </c>
      <c r="E70" t="inlineStr">
        <is>
          <t>pp</t>
        </is>
      </c>
      <c r="F70" t="inlineStr">
        <is>
          <t>C4</t>
        </is>
      </c>
      <c r="H70" t="inlineStr">
        <is>
          <t>2020-2024 (renta)</t>
        </is>
      </c>
      <c r="I70" t="inlineStr">
        <is>
          <t>España</t>
        </is>
      </c>
      <c r="J70" t="inlineStr">
        <is>
          <t>Resto UE</t>
        </is>
      </c>
      <c r="K70" t="inlineStr">
        <is>
          <t>ECV (INE, microdatos)</t>
        </is>
      </c>
      <c r="L70" t="inlineStr">
        <is>
          <t>Diferencia en la probabilidad de percibir (ayuda_vivienda) frente a nacidos en España (edad y sexo)</t>
        </is>
      </c>
    </row>
    <row r="71">
      <c r="A71" t="inlineStr">
        <is>
          <t>F3_PRE_BRECHA_perceptor_ayuda_vivienda_Resto_del_mundo_completo</t>
        </is>
      </c>
      <c r="B71" s="2" t="n">
        <v>2.9</v>
      </c>
      <c r="C71" s="2" t="n">
        <v>2.3</v>
      </c>
      <c r="D71" s="2" t="n">
        <v>3.5</v>
      </c>
      <c r="E71" t="inlineStr">
        <is>
          <t>pp</t>
        </is>
      </c>
      <c r="F71" t="inlineStr">
        <is>
          <t>C4</t>
        </is>
      </c>
      <c r="H71" t="inlineStr">
        <is>
          <t>2020-2024 (renta)</t>
        </is>
      </c>
      <c r="I71" t="inlineStr">
        <is>
          <t>España</t>
        </is>
      </c>
      <c r="J71" t="inlineStr">
        <is>
          <t>Resto del mundo</t>
        </is>
      </c>
      <c r="K71" t="inlineStr">
        <is>
          <t>ECV (INE, microdatos)</t>
        </is>
      </c>
      <c r="L71" t="inlineStr">
        <is>
          <t>Diferencia en la probabilidad de percibir (ayuda_vivienda) frente a nacidos en España (completo)</t>
        </is>
      </c>
    </row>
    <row r="72">
      <c r="A72" t="inlineStr">
        <is>
          <t>F3_PRE_BRECHA_perceptor_ayuda_vivienda_Resto_del_mundo_edad_y_sexo</t>
        </is>
      </c>
      <c r="B72" s="2" t="n">
        <v>3</v>
      </c>
      <c r="C72" s="2" t="n">
        <v>2.4</v>
      </c>
      <c r="D72" s="2" t="n">
        <v>3.6</v>
      </c>
      <c r="E72" t="inlineStr">
        <is>
          <t>pp</t>
        </is>
      </c>
      <c r="F72" t="inlineStr">
        <is>
          <t>C4</t>
        </is>
      </c>
      <c r="H72" t="inlineStr">
        <is>
          <t>2020-2024 (renta)</t>
        </is>
      </c>
      <c r="I72" t="inlineStr">
        <is>
          <t>España</t>
        </is>
      </c>
      <c r="J72" t="inlineStr">
        <is>
          <t>Resto del mundo</t>
        </is>
      </c>
      <c r="K72" t="inlineStr">
        <is>
          <t>ECV (INE, microdatos)</t>
        </is>
      </c>
      <c r="L72" t="inlineStr">
        <is>
          <t>Diferencia en la probabilidad de percibir (ayuda_vivienda) frente a nacidos en España (edad y sexo)</t>
        </is>
      </c>
    </row>
    <row r="73">
      <c r="A73" t="inlineStr">
        <is>
          <t>F3_PRE_BRECHA_perceptor_desempleo_Resto_UE_completo</t>
        </is>
      </c>
      <c r="B73" s="2" t="n">
        <v>3.6</v>
      </c>
      <c r="C73" s="2" t="n">
        <v>2</v>
      </c>
      <c r="D73" s="2" t="n">
        <v>5.2</v>
      </c>
      <c r="E73" t="inlineStr">
        <is>
          <t>pp</t>
        </is>
      </c>
      <c r="F73" t="inlineStr">
        <is>
          <t>C4</t>
        </is>
      </c>
      <c r="H73" t="inlineStr">
        <is>
          <t>2020-2024 (renta)</t>
        </is>
      </c>
      <c r="I73" t="inlineStr">
        <is>
          <t>España</t>
        </is>
      </c>
      <c r="J73" t="inlineStr">
        <is>
          <t>Resto UE</t>
        </is>
      </c>
      <c r="K73" t="inlineStr">
        <is>
          <t>ECV (INE, microdatos)</t>
        </is>
      </c>
      <c r="L73" t="inlineStr">
        <is>
          <t>Diferencia en la probabilidad de percibir (desempleo) frente a nacidos en España (completo)</t>
        </is>
      </c>
    </row>
    <row r="74">
      <c r="A74" t="inlineStr">
        <is>
          <t>F3_PRE_BRECHA_perceptor_desempleo_Resto_UE_edad_y_sexo</t>
        </is>
      </c>
      <c r="B74" s="2" t="n">
        <v>4.1</v>
      </c>
      <c r="C74" s="2" t="n">
        <v>2.4</v>
      </c>
      <c r="D74" s="2" t="n">
        <v>5.8</v>
      </c>
      <c r="E74" t="inlineStr">
        <is>
          <t>pp</t>
        </is>
      </c>
      <c r="F74" t="inlineStr">
        <is>
          <t>C4</t>
        </is>
      </c>
      <c r="H74" t="inlineStr">
        <is>
          <t>2020-2024 (renta)</t>
        </is>
      </c>
      <c r="I74" t="inlineStr">
        <is>
          <t>España</t>
        </is>
      </c>
      <c r="J74" t="inlineStr">
        <is>
          <t>Resto UE</t>
        </is>
      </c>
      <c r="K74" t="inlineStr">
        <is>
          <t>ECV (INE, microdatos)</t>
        </is>
      </c>
      <c r="L74" t="inlineStr">
        <is>
          <t>Diferencia en la probabilidad de percibir (desempleo) frente a nacidos en España (edad y sexo)</t>
        </is>
      </c>
    </row>
    <row r="75">
      <c r="A75" t="inlineStr">
        <is>
          <t>F3_PRE_BRECHA_perceptor_desempleo_Resto_del_mundo_completo</t>
        </is>
      </c>
      <c r="B75" s="2" t="n">
        <v>2</v>
      </c>
      <c r="C75" s="2" t="n">
        <v>1.1</v>
      </c>
      <c r="D75" s="2" t="n">
        <v>2.8</v>
      </c>
      <c r="E75" t="inlineStr">
        <is>
          <t>pp</t>
        </is>
      </c>
      <c r="F75" t="inlineStr">
        <is>
          <t>C4</t>
        </is>
      </c>
      <c r="H75" t="inlineStr">
        <is>
          <t>2020-2024 (renta)</t>
        </is>
      </c>
      <c r="I75" t="inlineStr">
        <is>
          <t>España</t>
        </is>
      </c>
      <c r="J75" t="inlineStr">
        <is>
          <t>Resto del mundo</t>
        </is>
      </c>
      <c r="K75" t="inlineStr">
        <is>
          <t>ECV (INE, microdatos)</t>
        </is>
      </c>
      <c r="L75" t="inlineStr">
        <is>
          <t>Diferencia en la probabilidad de percibir (desempleo) frente a nacidos en España (completo)</t>
        </is>
      </c>
    </row>
    <row r="76">
      <c r="A76" t="inlineStr">
        <is>
          <t>F3_PRE_BRECHA_perceptor_desempleo_Resto_del_mundo_edad_y_sexo</t>
        </is>
      </c>
      <c r="B76" s="2" t="n">
        <v>2.8</v>
      </c>
      <c r="C76" s="2" t="n">
        <v>1.9</v>
      </c>
      <c r="D76" s="2" t="n">
        <v>3.6</v>
      </c>
      <c r="E76" t="inlineStr">
        <is>
          <t>pp</t>
        </is>
      </c>
      <c r="F76" t="inlineStr">
        <is>
          <t>C4</t>
        </is>
      </c>
      <c r="H76" t="inlineStr">
        <is>
          <t>2020-2024 (renta)</t>
        </is>
      </c>
      <c r="I76" t="inlineStr">
        <is>
          <t>España</t>
        </is>
      </c>
      <c r="J76" t="inlineStr">
        <is>
          <t>Resto del mundo</t>
        </is>
      </c>
      <c r="K76" t="inlineStr">
        <is>
          <t>ECV (INE, microdatos)</t>
        </is>
      </c>
      <c r="L76" t="inlineStr">
        <is>
          <t>Diferencia en la probabilidad de percibir (desempleo) frente a nacidos en España (edad y sexo)</t>
        </is>
      </c>
    </row>
    <row r="77">
      <c r="A77" t="inlineStr">
        <is>
          <t>F3_PRE_BRECHA_perceptor_familia_hijos_Resto_UE_completo</t>
        </is>
      </c>
      <c r="B77" s="2" t="n">
        <v>-1</v>
      </c>
      <c r="C77" s="2" t="n">
        <v>-1.9</v>
      </c>
      <c r="D77" s="2" t="n">
        <v>-0</v>
      </c>
      <c r="E77" t="inlineStr">
        <is>
          <t>pp</t>
        </is>
      </c>
      <c r="F77" t="inlineStr">
        <is>
          <t>C4</t>
        </is>
      </c>
      <c r="H77" t="inlineStr">
        <is>
          <t>2020-2024 (renta)</t>
        </is>
      </c>
      <c r="I77" t="inlineStr">
        <is>
          <t>España</t>
        </is>
      </c>
      <c r="J77" t="inlineStr">
        <is>
          <t>Resto UE</t>
        </is>
      </c>
      <c r="K77" t="inlineStr">
        <is>
          <t>ECV (INE, microdatos)</t>
        </is>
      </c>
      <c r="L77" t="inlineStr">
        <is>
          <t>Diferencia en la probabilidad de percibir (familia_hijos) frente a nacidos en España (completo)</t>
        </is>
      </c>
    </row>
    <row r="78">
      <c r="A78" t="inlineStr">
        <is>
          <t>F3_PRE_BRECHA_perceptor_familia_hijos_Resto_UE_edad_y_sexo</t>
        </is>
      </c>
      <c r="B78" s="2" t="n">
        <v>-1</v>
      </c>
      <c r="C78" s="2" t="n">
        <v>-2</v>
      </c>
      <c r="D78" s="2" t="n">
        <v>-0.1</v>
      </c>
      <c r="E78" t="inlineStr">
        <is>
          <t>pp</t>
        </is>
      </c>
      <c r="F78" t="inlineStr">
        <is>
          <t>C4</t>
        </is>
      </c>
      <c r="H78" t="inlineStr">
        <is>
          <t>2020-2024 (renta)</t>
        </is>
      </c>
      <c r="I78" t="inlineStr">
        <is>
          <t>España</t>
        </is>
      </c>
      <c r="J78" t="inlineStr">
        <is>
          <t>Resto UE</t>
        </is>
      </c>
      <c r="K78" t="inlineStr">
        <is>
          <t>ECV (INE, microdatos)</t>
        </is>
      </c>
      <c r="L78" t="inlineStr">
        <is>
          <t>Diferencia en la probabilidad de percibir (familia_hijos) frente a nacidos en España (edad y sexo)</t>
        </is>
      </c>
    </row>
    <row r="79">
      <c r="A79" t="inlineStr">
        <is>
          <t>F3_PRE_BRECHA_perceptor_familia_hijos_Resto_del_mundo_completo</t>
        </is>
      </c>
      <c r="B79" s="2" t="n">
        <v>-0.8</v>
      </c>
      <c r="C79" s="2" t="n">
        <v>-1.5</v>
      </c>
      <c r="D79" s="2" t="n">
        <v>-0.2</v>
      </c>
      <c r="E79" t="inlineStr">
        <is>
          <t>pp</t>
        </is>
      </c>
      <c r="F79" t="inlineStr">
        <is>
          <t>C4</t>
        </is>
      </c>
      <c r="H79" t="inlineStr">
        <is>
          <t>2020-2024 (renta)</t>
        </is>
      </c>
      <c r="I79" t="inlineStr">
        <is>
          <t>España</t>
        </is>
      </c>
      <c r="J79" t="inlineStr">
        <is>
          <t>Resto del mundo</t>
        </is>
      </c>
      <c r="K79" t="inlineStr">
        <is>
          <t>ECV (INE, microdatos)</t>
        </is>
      </c>
      <c r="L79" t="inlineStr">
        <is>
          <t>Diferencia en la probabilidad de percibir (familia_hijos) frente a nacidos en España (completo)</t>
        </is>
      </c>
    </row>
    <row r="80">
      <c r="A80" t="inlineStr">
        <is>
          <t>F3_PRE_BRECHA_perceptor_familia_hijos_Resto_del_mundo_edad_y_sexo</t>
        </is>
      </c>
      <c r="B80" s="2" t="n">
        <v>-0.7</v>
      </c>
      <c r="C80" s="2" t="n">
        <v>-1.4</v>
      </c>
      <c r="D80" s="2" t="n">
        <v>-0.1</v>
      </c>
      <c r="E80" t="inlineStr">
        <is>
          <t>pp</t>
        </is>
      </c>
      <c r="F80" t="inlineStr">
        <is>
          <t>C4</t>
        </is>
      </c>
      <c r="H80" t="inlineStr">
        <is>
          <t>2020-2024 (renta)</t>
        </is>
      </c>
      <c r="I80" t="inlineStr">
        <is>
          <t>España</t>
        </is>
      </c>
      <c r="J80" t="inlineStr">
        <is>
          <t>Resto del mundo</t>
        </is>
      </c>
      <c r="K80" t="inlineStr">
        <is>
          <t>ECV (INE, microdatos)</t>
        </is>
      </c>
      <c r="L80" t="inlineStr">
        <is>
          <t>Diferencia en la probabilidad de percibir (familia_hijos) frente a nacidos en España (edad y sexo)</t>
        </is>
      </c>
    </row>
    <row r="81">
      <c r="A81" t="inlineStr">
        <is>
          <t>F3_PRE_BRECHA_perceptor_incapacidad_Resto_UE_completo</t>
        </is>
      </c>
      <c r="B81" s="2" t="n">
        <v>-1.3</v>
      </c>
      <c r="C81" s="2" t="n">
        <v>-1.9</v>
      </c>
      <c r="D81" s="2" t="n">
        <v>-0.7</v>
      </c>
      <c r="E81" t="inlineStr">
        <is>
          <t>pp</t>
        </is>
      </c>
      <c r="F81" t="inlineStr">
        <is>
          <t>C4</t>
        </is>
      </c>
      <c r="H81" t="inlineStr">
        <is>
          <t>2020-2024 (renta)</t>
        </is>
      </c>
      <c r="I81" t="inlineStr">
        <is>
          <t>España</t>
        </is>
      </c>
      <c r="J81" t="inlineStr">
        <is>
          <t>Resto UE</t>
        </is>
      </c>
      <c r="K81" t="inlineStr">
        <is>
          <t>ECV (INE, microdatos)</t>
        </is>
      </c>
      <c r="L81" t="inlineStr">
        <is>
          <t>Diferencia en la probabilidad de percibir (incapacidad) frente a nacidos en España (completo)</t>
        </is>
      </c>
    </row>
    <row r="82">
      <c r="A82" t="inlineStr">
        <is>
          <t>F3_PRE_BRECHA_perceptor_incapacidad_Resto_UE_edad_y_sexo</t>
        </is>
      </c>
      <c r="B82" s="2" t="n">
        <v>-1.2</v>
      </c>
      <c r="C82" s="2" t="n">
        <v>-1.8</v>
      </c>
      <c r="D82" s="2" t="n">
        <v>-0.7</v>
      </c>
      <c r="E82" t="inlineStr">
        <is>
          <t>pp</t>
        </is>
      </c>
      <c r="F82" t="inlineStr">
        <is>
          <t>C4</t>
        </is>
      </c>
      <c r="H82" t="inlineStr">
        <is>
          <t>2020-2024 (renta)</t>
        </is>
      </c>
      <c r="I82" t="inlineStr">
        <is>
          <t>España</t>
        </is>
      </c>
      <c r="J82" t="inlineStr">
        <is>
          <t>Resto UE</t>
        </is>
      </c>
      <c r="K82" t="inlineStr">
        <is>
          <t>ECV (INE, microdatos)</t>
        </is>
      </c>
      <c r="L82" t="inlineStr">
        <is>
          <t>Diferencia en la probabilidad de percibir (incapacidad) frente a nacidos en España (edad y sexo)</t>
        </is>
      </c>
    </row>
    <row r="83">
      <c r="A83" t="inlineStr">
        <is>
          <t>F3_PRE_BRECHA_perceptor_incapacidad_Resto_del_mundo_completo</t>
        </is>
      </c>
      <c r="B83" s="2" t="n">
        <v>-2.3</v>
      </c>
      <c r="C83" s="2" t="n">
        <v>-2.5</v>
      </c>
      <c r="D83" s="2" t="n">
        <v>-2</v>
      </c>
      <c r="E83" t="inlineStr">
        <is>
          <t>pp</t>
        </is>
      </c>
      <c r="F83" t="inlineStr">
        <is>
          <t>C4</t>
        </is>
      </c>
      <c r="H83" t="inlineStr">
        <is>
          <t>2020-2024 (renta)</t>
        </is>
      </c>
      <c r="I83" t="inlineStr">
        <is>
          <t>España</t>
        </is>
      </c>
      <c r="J83" t="inlineStr">
        <is>
          <t>Resto del mundo</t>
        </is>
      </c>
      <c r="K83" t="inlineStr">
        <is>
          <t>ECV (INE, microdatos)</t>
        </is>
      </c>
      <c r="L83" t="inlineStr">
        <is>
          <t>Diferencia en la probabilidad de percibir (incapacidad) frente a nacidos en España (completo)</t>
        </is>
      </c>
    </row>
    <row r="84">
      <c r="A84" t="inlineStr">
        <is>
          <t>F3_PRE_BRECHA_perceptor_incapacidad_Resto_del_mundo_edad_y_sexo</t>
        </is>
      </c>
      <c r="B84" s="2" t="n">
        <v>-1.8</v>
      </c>
      <c r="C84" s="2" t="n">
        <v>-2</v>
      </c>
      <c r="D84" s="2" t="n">
        <v>-1.6</v>
      </c>
      <c r="E84" t="inlineStr">
        <is>
          <t>pp</t>
        </is>
      </c>
      <c r="F84" t="inlineStr">
        <is>
          <t>C4</t>
        </is>
      </c>
      <c r="H84" t="inlineStr">
        <is>
          <t>2020-2024 (renta)</t>
        </is>
      </c>
      <c r="I84" t="inlineStr">
        <is>
          <t>España</t>
        </is>
      </c>
      <c r="J84" t="inlineStr">
        <is>
          <t>Resto del mundo</t>
        </is>
      </c>
      <c r="K84" t="inlineStr">
        <is>
          <t>ECV (INE, microdatos)</t>
        </is>
      </c>
      <c r="L84" t="inlineStr">
        <is>
          <t>Diferencia en la probabilidad de percibir (incapacidad) frente a nacidos en España (edad y sexo)</t>
        </is>
      </c>
    </row>
    <row r="85">
      <c r="A85" t="inlineStr">
        <is>
          <t>F3_PRE_BRECHA_perceptor_jubilacion_Resto_UE_completo</t>
        </is>
      </c>
      <c r="B85" s="2" t="n">
        <v>-19.8</v>
      </c>
      <c r="C85" s="2" t="n">
        <v>-25.8</v>
      </c>
      <c r="D85" s="2" t="n">
        <v>-13.8</v>
      </c>
      <c r="E85" t="inlineStr">
        <is>
          <t>pp</t>
        </is>
      </c>
      <c r="F85" t="inlineStr">
        <is>
          <t>C4</t>
        </is>
      </c>
      <c r="H85" t="inlineStr">
        <is>
          <t>2020-2024 (renta)</t>
        </is>
      </c>
      <c r="I85" t="inlineStr">
        <is>
          <t>España</t>
        </is>
      </c>
      <c r="J85" t="inlineStr">
        <is>
          <t>Resto UE</t>
        </is>
      </c>
      <c r="K85" t="inlineStr">
        <is>
          <t>ECV (INE, microdatos)</t>
        </is>
      </c>
      <c r="L85" t="inlineStr">
        <is>
          <t>Diferencia en la probabilidad de percibir (jubilacion) frente a nacidos en España (completo)</t>
        </is>
      </c>
    </row>
    <row r="86">
      <c r="A86" t="inlineStr">
        <is>
          <t>F3_PRE_BRECHA_perceptor_jubilacion_Resto_UE_edad_y_sexo</t>
        </is>
      </c>
      <c r="B86" s="2" t="n">
        <v>-16.4</v>
      </c>
      <c r="C86" s="2" t="n">
        <v>-22.4</v>
      </c>
      <c r="D86" s="2" t="n">
        <v>-10.5</v>
      </c>
      <c r="E86" t="inlineStr">
        <is>
          <t>pp</t>
        </is>
      </c>
      <c r="F86" t="inlineStr">
        <is>
          <t>C4</t>
        </is>
      </c>
      <c r="H86" t="inlineStr">
        <is>
          <t>2020-2024 (renta)</t>
        </is>
      </c>
      <c r="I86" t="inlineStr">
        <is>
          <t>España</t>
        </is>
      </c>
      <c r="J86" t="inlineStr">
        <is>
          <t>Resto UE</t>
        </is>
      </c>
      <c r="K86" t="inlineStr">
        <is>
          <t>ECV (INE, microdatos)</t>
        </is>
      </c>
      <c r="L86" t="inlineStr">
        <is>
          <t>Diferencia en la probabilidad de percibir (jubilacion) frente a nacidos en España (edad y sexo)</t>
        </is>
      </c>
    </row>
    <row r="87">
      <c r="A87" t="inlineStr">
        <is>
          <t>F3_PRE_BRECHA_perceptor_jubilacion_Resto_del_mundo_completo</t>
        </is>
      </c>
      <c r="B87" s="2" t="n">
        <v>-29</v>
      </c>
      <c r="C87" s="2" t="n">
        <v>-32.2</v>
      </c>
      <c r="D87" s="2" t="n">
        <v>-25.7</v>
      </c>
      <c r="E87" t="inlineStr">
        <is>
          <t>pp</t>
        </is>
      </c>
      <c r="F87" t="inlineStr">
        <is>
          <t>C4</t>
        </is>
      </c>
      <c r="H87" t="inlineStr">
        <is>
          <t>2020-2024 (renta)</t>
        </is>
      </c>
      <c r="I87" t="inlineStr">
        <is>
          <t>España</t>
        </is>
      </c>
      <c r="J87" t="inlineStr">
        <is>
          <t>Resto del mundo</t>
        </is>
      </c>
      <c r="K87" t="inlineStr">
        <is>
          <t>ECV (INE, microdatos)</t>
        </is>
      </c>
      <c r="L87" t="inlineStr">
        <is>
          <t>Diferencia en la probabilidad de percibir (jubilacion) frente a nacidos en España (completo)</t>
        </is>
      </c>
    </row>
    <row r="88">
      <c r="A88" t="inlineStr">
        <is>
          <t>F3_PRE_BRECHA_perceptor_jubilacion_Resto_del_mundo_edad_y_sexo</t>
        </is>
      </c>
      <c r="B88" s="2" t="n">
        <v>-26.5</v>
      </c>
      <c r="C88" s="2" t="n">
        <v>-29.6</v>
      </c>
      <c r="D88" s="2" t="n">
        <v>-23.3</v>
      </c>
      <c r="E88" t="inlineStr">
        <is>
          <t>pp</t>
        </is>
      </c>
      <c r="F88" t="inlineStr">
        <is>
          <t>C4</t>
        </is>
      </c>
      <c r="H88" t="inlineStr">
        <is>
          <t>2020-2024 (renta)</t>
        </is>
      </c>
      <c r="I88" t="inlineStr">
        <is>
          <t>España</t>
        </is>
      </c>
      <c r="J88" t="inlineStr">
        <is>
          <t>Resto del mundo</t>
        </is>
      </c>
      <c r="K88" t="inlineStr">
        <is>
          <t>ECV (INE, microdatos)</t>
        </is>
      </c>
      <c r="L88" t="inlineStr">
        <is>
          <t>Diferencia en la probabilidad de percibir (jubilacion) frente a nacidos en España (edad y sexo)</t>
        </is>
      </c>
    </row>
    <row r="89">
      <c r="A89" t="inlineStr">
        <is>
          <t>F3_PRE_BRECHA_perceptor_rentas_minimas_IMV_Resto_UE_completo</t>
        </is>
      </c>
      <c r="B89" s="2" t="n">
        <v>1.4</v>
      </c>
      <c r="C89" s="2" t="n">
        <v>0.3</v>
      </c>
      <c r="D89" s="2" t="n">
        <v>2.5</v>
      </c>
      <c r="E89" t="inlineStr">
        <is>
          <t>pp</t>
        </is>
      </c>
      <c r="F89" t="inlineStr">
        <is>
          <t>C4</t>
        </is>
      </c>
      <c r="H89" t="inlineStr">
        <is>
          <t>2020-2024 (renta)</t>
        </is>
      </c>
      <c r="I89" t="inlineStr">
        <is>
          <t>España</t>
        </is>
      </c>
      <c r="J89" t="inlineStr">
        <is>
          <t>Resto UE</t>
        </is>
      </c>
      <c r="K89" t="inlineStr">
        <is>
          <t>ECV (INE, microdatos)</t>
        </is>
      </c>
      <c r="L89" t="inlineStr">
        <is>
          <t>Diferencia en la probabilidad de percibir (rentas_minimas_IMV) frente a nacidos en España (completo)</t>
        </is>
      </c>
    </row>
    <row r="90">
      <c r="A90" t="inlineStr">
        <is>
          <t>F3_PRE_BRECHA_perceptor_rentas_minimas_IMV_Resto_UE_edad_y_sexo</t>
        </is>
      </c>
      <c r="B90" s="2" t="n">
        <v>1.3</v>
      </c>
      <c r="C90" s="2" t="n">
        <v>0.2</v>
      </c>
      <c r="D90" s="2" t="n">
        <v>2.4</v>
      </c>
      <c r="E90" t="inlineStr">
        <is>
          <t>pp</t>
        </is>
      </c>
      <c r="F90" t="inlineStr">
        <is>
          <t>C4</t>
        </is>
      </c>
      <c r="H90" t="inlineStr">
        <is>
          <t>2020-2024 (renta)</t>
        </is>
      </c>
      <c r="I90" t="inlineStr">
        <is>
          <t>España</t>
        </is>
      </c>
      <c r="J90" t="inlineStr">
        <is>
          <t>Resto UE</t>
        </is>
      </c>
      <c r="K90" t="inlineStr">
        <is>
          <t>ECV (INE, microdatos)</t>
        </is>
      </c>
      <c r="L90" t="inlineStr">
        <is>
          <t>Diferencia en la probabilidad de percibir (rentas_minimas_IMV) frente a nacidos en España (edad y sexo)</t>
        </is>
      </c>
    </row>
    <row r="91">
      <c r="A91" t="inlineStr">
        <is>
          <t>F3_PRE_BRECHA_perceptor_rentas_minimas_IMV_Resto_del_mundo_completo</t>
        </is>
      </c>
      <c r="B91" s="2" t="n">
        <v>6</v>
      </c>
      <c r="C91" s="2" t="n">
        <v>5</v>
      </c>
      <c r="D91" s="2" t="n">
        <v>7</v>
      </c>
      <c r="E91" t="inlineStr">
        <is>
          <t>pp</t>
        </is>
      </c>
      <c r="F91" t="inlineStr">
        <is>
          <t>C4</t>
        </is>
      </c>
      <c r="H91" t="inlineStr">
        <is>
          <t>2020-2024 (renta)</t>
        </is>
      </c>
      <c r="I91" t="inlineStr">
        <is>
          <t>España</t>
        </is>
      </c>
      <c r="J91" t="inlineStr">
        <is>
          <t>Resto del mundo</t>
        </is>
      </c>
      <c r="K91" t="inlineStr">
        <is>
          <t>ECV (INE, microdatos)</t>
        </is>
      </c>
      <c r="L91" t="inlineStr">
        <is>
          <t>Diferencia en la probabilidad de percibir (rentas_minimas_IMV) frente a nacidos en España (completo)</t>
        </is>
      </c>
    </row>
    <row r="92">
      <c r="A92" t="inlineStr">
        <is>
          <t>F3_PRE_BRECHA_perceptor_rentas_minimas_IMV_Resto_del_mundo_edad_y_sexo</t>
        </is>
      </c>
      <c r="B92" s="2" t="n">
        <v>6.2</v>
      </c>
      <c r="C92" s="2" t="n">
        <v>5.2</v>
      </c>
      <c r="D92" s="2" t="n">
        <v>7.2</v>
      </c>
      <c r="E92" t="inlineStr">
        <is>
          <t>pp</t>
        </is>
      </c>
      <c r="F92" t="inlineStr">
        <is>
          <t>C4</t>
        </is>
      </c>
      <c r="H92" t="inlineStr">
        <is>
          <t>2020-2024 (renta)</t>
        </is>
      </c>
      <c r="I92" t="inlineStr">
        <is>
          <t>España</t>
        </is>
      </c>
      <c r="J92" t="inlineStr">
        <is>
          <t>Resto del mundo</t>
        </is>
      </c>
      <c r="K92" t="inlineStr">
        <is>
          <t>ECV (INE, microdatos)</t>
        </is>
      </c>
      <c r="L92" t="inlineStr">
        <is>
          <t>Diferencia en la probabilidad de percibir (rentas_minimas_IMV) frente a nacidos en España (edad y sexo)</t>
        </is>
      </c>
    </row>
    <row r="93">
      <c r="A93" t="inlineStr">
        <is>
          <t>F3_PRE_BRECHA_perceptor_supervivencia_Resto_UE_completo</t>
        </is>
      </c>
      <c r="B93" s="2" t="n">
        <v>-2.1</v>
      </c>
      <c r="C93" s="2" t="n">
        <v>-2.5</v>
      </c>
      <c r="D93" s="2" t="n">
        <v>-1.6</v>
      </c>
      <c r="E93" t="inlineStr">
        <is>
          <t>pp</t>
        </is>
      </c>
      <c r="F93" t="inlineStr">
        <is>
          <t>C4</t>
        </is>
      </c>
      <c r="H93" t="inlineStr">
        <is>
          <t>2020-2024 (renta)</t>
        </is>
      </c>
      <c r="I93" t="inlineStr">
        <is>
          <t>España</t>
        </is>
      </c>
      <c r="J93" t="inlineStr">
        <is>
          <t>Resto UE</t>
        </is>
      </c>
      <c r="K93" t="inlineStr">
        <is>
          <t>ECV (INE, microdatos)</t>
        </is>
      </c>
      <c r="L93" t="inlineStr">
        <is>
          <t>Diferencia en la probabilidad de percibir (supervivencia) frente a nacidos en España (completo)</t>
        </is>
      </c>
    </row>
    <row r="94">
      <c r="A94" t="inlineStr">
        <is>
          <t>F3_PRE_BRECHA_perceptor_supervivencia_Resto_UE_edad_y_sexo</t>
        </is>
      </c>
      <c r="B94" s="2" t="n">
        <v>-2.3</v>
      </c>
      <c r="C94" s="2" t="n">
        <v>-2.8</v>
      </c>
      <c r="D94" s="2" t="n">
        <v>-1.9</v>
      </c>
      <c r="E94" t="inlineStr">
        <is>
          <t>pp</t>
        </is>
      </c>
      <c r="F94" t="inlineStr">
        <is>
          <t>C4</t>
        </is>
      </c>
      <c r="H94" t="inlineStr">
        <is>
          <t>2020-2024 (renta)</t>
        </is>
      </c>
      <c r="I94" t="inlineStr">
        <is>
          <t>España</t>
        </is>
      </c>
      <c r="J94" t="inlineStr">
        <is>
          <t>Resto UE</t>
        </is>
      </c>
      <c r="K94" t="inlineStr">
        <is>
          <t>ECV (INE, microdatos)</t>
        </is>
      </c>
      <c r="L94" t="inlineStr">
        <is>
          <t>Diferencia en la probabilidad de percibir (supervivencia) frente a nacidos en España (edad y sexo)</t>
        </is>
      </c>
    </row>
    <row r="95">
      <c r="A95" t="inlineStr">
        <is>
          <t>F3_PRE_BRECHA_perceptor_supervivencia_Resto_del_mundo_completo</t>
        </is>
      </c>
      <c r="B95" s="2" t="n">
        <v>-2.7</v>
      </c>
      <c r="C95" s="2" t="n">
        <v>-3</v>
      </c>
      <c r="D95" s="2" t="n">
        <v>-2.5</v>
      </c>
      <c r="E95" t="inlineStr">
        <is>
          <t>pp</t>
        </is>
      </c>
      <c r="F95" t="inlineStr">
        <is>
          <t>C4</t>
        </is>
      </c>
      <c r="H95" t="inlineStr">
        <is>
          <t>2020-2024 (renta)</t>
        </is>
      </c>
      <c r="I95" t="inlineStr">
        <is>
          <t>España</t>
        </is>
      </c>
      <c r="J95" t="inlineStr">
        <is>
          <t>Resto del mundo</t>
        </is>
      </c>
      <c r="K95" t="inlineStr">
        <is>
          <t>ECV (INE, microdatos)</t>
        </is>
      </c>
      <c r="L95" t="inlineStr">
        <is>
          <t>Diferencia en la probabilidad de percibir (supervivencia) frente a nacidos en España (completo)</t>
        </is>
      </c>
    </row>
    <row r="96">
      <c r="A96" t="inlineStr">
        <is>
          <t>F3_PRE_BRECHA_perceptor_supervivencia_Resto_del_mundo_edad_y_sexo</t>
        </is>
      </c>
      <c r="B96" s="2" t="n">
        <v>-2.6</v>
      </c>
      <c r="C96" s="2" t="n">
        <v>-2.9</v>
      </c>
      <c r="D96" s="2" t="n">
        <v>-2.4</v>
      </c>
      <c r="E96" t="inlineStr">
        <is>
          <t>pp</t>
        </is>
      </c>
      <c r="F96" t="inlineStr">
        <is>
          <t>C4</t>
        </is>
      </c>
      <c r="H96" t="inlineStr">
        <is>
          <t>2020-2024 (renta)</t>
        </is>
      </c>
      <c r="I96" t="inlineStr">
        <is>
          <t>España</t>
        </is>
      </c>
      <c r="J96" t="inlineStr">
        <is>
          <t>Resto del mundo</t>
        </is>
      </c>
      <c r="K96" t="inlineStr">
        <is>
          <t>ECV (INE, microdatos)</t>
        </is>
      </c>
      <c r="L96" t="inlineStr">
        <is>
          <t>Diferencia en la probabilidad de percibir (supervivencia) frente a nacidos en España (edad y sexo)</t>
        </is>
      </c>
    </row>
    <row r="97">
      <c r="A97" t="inlineStr">
        <is>
          <t>F3_PRE_ayuda_vivienda_España</t>
        </is>
      </c>
      <c r="B97" s="2" t="n">
        <v>1.8</v>
      </c>
      <c r="C97" s="2" t="n"/>
      <c r="D97" s="2" t="n"/>
      <c r="E97" t="inlineStr">
        <is>
          <t>% de personas</t>
        </is>
      </c>
      <c r="F97" t="inlineStr">
        <is>
          <t>C1</t>
        </is>
      </c>
      <c r="H97" t="inlineStr">
        <is>
          <t>2020-2024 (renta)</t>
        </is>
      </c>
      <c r="I97" t="inlineStr">
        <is>
          <t>España</t>
        </is>
      </c>
      <c r="J97" t="inlineStr">
        <is>
          <t>España</t>
        </is>
      </c>
      <c r="K97" t="inlineStr">
        <is>
          <t>ECV (INE, microdatos)</t>
        </is>
      </c>
      <c r="L97" t="inlineStr">
        <is>
          <t>Personas (todas) que perciben ayuda vivienda (o viven en un hogar que la percibe), media 2021-2025</t>
        </is>
      </c>
    </row>
    <row r="98">
      <c r="A98" t="inlineStr">
        <is>
          <t>F3_PRE_ayuda_vivienda_Resto_UE</t>
        </is>
      </c>
      <c r="B98" s="2" t="n">
        <v>2.2</v>
      </c>
      <c r="C98" s="2" t="n"/>
      <c r="D98" s="2" t="n"/>
      <c r="E98" t="inlineStr">
        <is>
          <t>% de personas</t>
        </is>
      </c>
      <c r="F98" t="inlineStr">
        <is>
          <t>C1</t>
        </is>
      </c>
      <c r="H98" t="inlineStr">
        <is>
          <t>2020-2024 (renta)</t>
        </is>
      </c>
      <c r="I98" t="inlineStr">
        <is>
          <t>España</t>
        </is>
      </c>
      <c r="J98" t="inlineStr">
        <is>
          <t>Resto UE</t>
        </is>
      </c>
      <c r="K98" t="inlineStr">
        <is>
          <t>ECV (INE, microdatos)</t>
        </is>
      </c>
      <c r="L98" t="inlineStr">
        <is>
          <t>Personas (todas) que perciben ayuda vivienda (o viven en un hogar que la percibe), media 2021-2025</t>
        </is>
      </c>
    </row>
    <row r="99">
      <c r="A99" t="inlineStr">
        <is>
          <t>F3_PRE_ayuda_vivienda_Resto_del_mundo</t>
        </is>
      </c>
      <c r="B99" s="2" t="n">
        <v>4.9</v>
      </c>
      <c r="C99" s="2" t="n"/>
      <c r="D99" s="2" t="n"/>
      <c r="E99" t="inlineStr">
        <is>
          <t>% de personas</t>
        </is>
      </c>
      <c r="F99" t="inlineStr">
        <is>
          <t>C1</t>
        </is>
      </c>
      <c r="H99" t="inlineStr">
        <is>
          <t>2020-2024 (renta)</t>
        </is>
      </c>
      <c r="I99" t="inlineStr">
        <is>
          <t>España</t>
        </is>
      </c>
      <c r="J99" t="inlineStr">
        <is>
          <t>Resto del mundo</t>
        </is>
      </c>
      <c r="K99" t="inlineStr">
        <is>
          <t>ECV (INE, microdatos)</t>
        </is>
      </c>
      <c r="L99" t="inlineStr">
        <is>
          <t>Personas (todas) que perciben ayuda vivienda (o viven en un hogar que la percibe), media 2021-2025</t>
        </is>
      </c>
    </row>
    <row r="100">
      <c r="A100" t="inlineStr">
        <is>
          <t>F3_PRE_desempleo_España</t>
        </is>
      </c>
      <c r="B100" s="2" t="n">
        <v>18.2</v>
      </c>
      <c r="C100" s="2" t="n"/>
      <c r="D100" s="2" t="n"/>
      <c r="E100" t="inlineStr">
        <is>
          <t>% de personas</t>
        </is>
      </c>
      <c r="F100" t="inlineStr">
        <is>
          <t>C1</t>
        </is>
      </c>
      <c r="H100" t="inlineStr">
        <is>
          <t>2020-2024 (renta)</t>
        </is>
      </c>
      <c r="I100" t="inlineStr">
        <is>
          <t>España</t>
        </is>
      </c>
      <c r="J100" t="inlineStr">
        <is>
          <t>España</t>
        </is>
      </c>
      <c r="K100" t="inlineStr">
        <is>
          <t>ECV (INE, microdatos)</t>
        </is>
      </c>
      <c r="L100" t="inlineStr">
        <is>
          <t>Personas (16-64) que perciben desempleo (o viven en un hogar que la percibe), media 2021-2025</t>
        </is>
      </c>
    </row>
    <row r="101">
      <c r="A101" t="inlineStr">
        <is>
          <t>F3_PRE_desempleo_Resto_UE</t>
        </is>
      </c>
      <c r="B101" s="2" t="n">
        <v>22.9</v>
      </c>
      <c r="C101" s="2" t="n"/>
      <c r="D101" s="2" t="n"/>
      <c r="E101" t="inlineStr">
        <is>
          <t>% de personas</t>
        </is>
      </c>
      <c r="F101" t="inlineStr">
        <is>
          <t>C1</t>
        </is>
      </c>
      <c r="H101" t="inlineStr">
        <is>
          <t>2020-2024 (renta)</t>
        </is>
      </c>
      <c r="I101" t="inlineStr">
        <is>
          <t>España</t>
        </is>
      </c>
      <c r="J101" t="inlineStr">
        <is>
          <t>Resto UE</t>
        </is>
      </c>
      <c r="K101" t="inlineStr">
        <is>
          <t>ECV (INE, microdatos)</t>
        </is>
      </c>
      <c r="L101" t="inlineStr">
        <is>
          <t>Personas (16-64) que perciben desempleo (o viven en un hogar que la percibe), media 2021-2025</t>
        </is>
      </c>
    </row>
    <row r="102">
      <c r="A102" t="inlineStr">
        <is>
          <t>F3_PRE_desempleo_Resto_del_mundo</t>
        </is>
      </c>
      <c r="B102" s="2" t="n">
        <v>21.1</v>
      </c>
      <c r="C102" s="2" t="n"/>
      <c r="D102" s="2" t="n"/>
      <c r="E102" t="inlineStr">
        <is>
          <t>% de personas</t>
        </is>
      </c>
      <c r="F102" t="inlineStr">
        <is>
          <t>C1</t>
        </is>
      </c>
      <c r="H102" t="inlineStr">
        <is>
          <t>2020-2024 (renta)</t>
        </is>
      </c>
      <c r="I102" t="inlineStr">
        <is>
          <t>España</t>
        </is>
      </c>
      <c r="J102" t="inlineStr">
        <is>
          <t>Resto del mundo</t>
        </is>
      </c>
      <c r="K102" t="inlineStr">
        <is>
          <t>ECV (INE, microdatos)</t>
        </is>
      </c>
      <c r="L102" t="inlineStr">
        <is>
          <t>Personas (16-64) que perciben desempleo (o viven en un hogar que la percibe), media 2021-2025</t>
        </is>
      </c>
    </row>
    <row r="103">
      <c r="A103" t="inlineStr">
        <is>
          <t>F3_PRE_familia_hijos_España</t>
        </is>
      </c>
      <c r="B103" s="2" t="n">
        <v>5.2</v>
      </c>
      <c r="C103" s="2" t="n"/>
      <c r="D103" s="2" t="n"/>
      <c r="E103" t="inlineStr">
        <is>
          <t>% de personas</t>
        </is>
      </c>
      <c r="F103" t="inlineStr">
        <is>
          <t>C1</t>
        </is>
      </c>
      <c r="H103" t="inlineStr">
        <is>
          <t>2020-2024 (renta)</t>
        </is>
      </c>
      <c r="I103" t="inlineStr">
        <is>
          <t>España</t>
        </is>
      </c>
      <c r="J103" t="inlineStr">
        <is>
          <t>España</t>
        </is>
      </c>
      <c r="K103" t="inlineStr">
        <is>
          <t>ECV (INE, microdatos)</t>
        </is>
      </c>
      <c r="L103" t="inlineStr">
        <is>
          <t>Personas (todas) que perciben familia hijos (o viven en un hogar que la percibe), media 2021-2025</t>
        </is>
      </c>
    </row>
    <row r="104">
      <c r="A104" t="inlineStr">
        <is>
          <t>F3_PRE_familia_hijos_Resto_UE</t>
        </is>
      </c>
      <c r="B104" s="2" t="n">
        <v>4.1</v>
      </c>
      <c r="C104" s="2" t="n"/>
      <c r="D104" s="2" t="n"/>
      <c r="E104" t="inlineStr">
        <is>
          <t>% de personas</t>
        </is>
      </c>
      <c r="F104" t="inlineStr">
        <is>
          <t>C1</t>
        </is>
      </c>
      <c r="H104" t="inlineStr">
        <is>
          <t>2020-2024 (renta)</t>
        </is>
      </c>
      <c r="I104" t="inlineStr">
        <is>
          <t>España</t>
        </is>
      </c>
      <c r="J104" t="inlineStr">
        <is>
          <t>Resto UE</t>
        </is>
      </c>
      <c r="K104" t="inlineStr">
        <is>
          <t>ECV (INE, microdatos)</t>
        </is>
      </c>
      <c r="L104" t="inlineStr">
        <is>
          <t>Personas (todas) que perciben familia hijos (o viven en un hogar que la percibe), media 2021-2025</t>
        </is>
      </c>
    </row>
    <row r="105">
      <c r="A105" t="inlineStr">
        <is>
          <t>F3_PRE_familia_hijos_Resto_del_mundo</t>
        </is>
      </c>
      <c r="B105" s="2" t="n">
        <v>5.1</v>
      </c>
      <c r="C105" s="2" t="n"/>
      <c r="D105" s="2" t="n"/>
      <c r="E105" t="inlineStr">
        <is>
          <t>% de personas</t>
        </is>
      </c>
      <c r="F105" t="inlineStr">
        <is>
          <t>C1</t>
        </is>
      </c>
      <c r="H105" t="inlineStr">
        <is>
          <t>2020-2024 (renta)</t>
        </is>
      </c>
      <c r="I105" t="inlineStr">
        <is>
          <t>España</t>
        </is>
      </c>
      <c r="J105" t="inlineStr">
        <is>
          <t>Resto del mundo</t>
        </is>
      </c>
      <c r="K105" t="inlineStr">
        <is>
          <t>ECV (INE, microdatos)</t>
        </is>
      </c>
      <c r="L105" t="inlineStr">
        <is>
          <t>Personas (todas) que perciben familia hijos (o viven en un hogar que la percibe), media 2021-2025</t>
        </is>
      </c>
    </row>
    <row r="106">
      <c r="A106" t="inlineStr">
        <is>
          <t>F3_PRE_incapacidad_España</t>
        </is>
      </c>
      <c r="B106" s="2" t="n">
        <v>4.1</v>
      </c>
      <c r="C106" s="2" t="n"/>
      <c r="D106" s="2" t="n"/>
      <c r="E106" t="inlineStr">
        <is>
          <t>% de personas</t>
        </is>
      </c>
      <c r="F106" t="inlineStr">
        <is>
          <t>C1</t>
        </is>
      </c>
      <c r="H106" t="inlineStr">
        <is>
          <t>2020-2024 (renta)</t>
        </is>
      </c>
      <c r="I106" t="inlineStr">
        <is>
          <t>España</t>
        </is>
      </c>
      <c r="J106" t="inlineStr">
        <is>
          <t>España</t>
        </is>
      </c>
      <c r="K106" t="inlineStr">
        <is>
          <t>ECV (INE, microdatos)</t>
        </is>
      </c>
      <c r="L106" t="inlineStr">
        <is>
          <t>Personas (16-64) que perciben incapacidad (o viven en un hogar que la percibe), media 2021-2025</t>
        </is>
      </c>
    </row>
    <row r="107">
      <c r="A107" t="inlineStr">
        <is>
          <t>F3_PRE_incapacidad_Resto_UE</t>
        </is>
      </c>
      <c r="B107" s="2" t="n">
        <v>2.7</v>
      </c>
      <c r="C107" s="2" t="n"/>
      <c r="D107" s="2" t="n"/>
      <c r="E107" t="inlineStr">
        <is>
          <t>% de personas</t>
        </is>
      </c>
      <c r="F107" t="inlineStr">
        <is>
          <t>C1</t>
        </is>
      </c>
      <c r="H107" t="inlineStr">
        <is>
          <t>2020-2024 (renta)</t>
        </is>
      </c>
      <c r="I107" t="inlineStr">
        <is>
          <t>España</t>
        </is>
      </c>
      <c r="J107" t="inlineStr">
        <is>
          <t>Resto UE</t>
        </is>
      </c>
      <c r="K107" t="inlineStr">
        <is>
          <t>ECV (INE, microdatos)</t>
        </is>
      </c>
      <c r="L107" t="inlineStr">
        <is>
          <t>Personas (16-64) que perciben incapacidad (o viven en un hogar que la percibe), media 2021-2025</t>
        </is>
      </c>
    </row>
    <row r="108">
      <c r="A108" t="inlineStr">
        <is>
          <t>F3_PRE_incapacidad_Resto_del_mundo</t>
        </is>
      </c>
      <c r="B108" s="2" t="n">
        <v>1.4</v>
      </c>
      <c r="C108" s="2" t="n"/>
      <c r="D108" s="2" t="n"/>
      <c r="E108" t="inlineStr">
        <is>
          <t>% de personas</t>
        </is>
      </c>
      <c r="F108" t="inlineStr">
        <is>
          <t>C1</t>
        </is>
      </c>
      <c r="H108" t="inlineStr">
        <is>
          <t>2020-2024 (renta)</t>
        </is>
      </c>
      <c r="I108" t="inlineStr">
        <is>
          <t>España</t>
        </is>
      </c>
      <c r="J108" t="inlineStr">
        <is>
          <t>Resto del mundo</t>
        </is>
      </c>
      <c r="K108" t="inlineStr">
        <is>
          <t>ECV (INE, microdatos)</t>
        </is>
      </c>
      <c r="L108" t="inlineStr">
        <is>
          <t>Personas (16-64) que perciben incapacidad (o viven en un hogar que la percibe), media 2021-2025</t>
        </is>
      </c>
    </row>
    <row r="109">
      <c r="A109" t="inlineStr">
        <is>
          <t>F3_PRE_jubilacion_España</t>
        </is>
      </c>
      <c r="B109" s="2" t="n">
        <v>72.5</v>
      </c>
      <c r="C109" s="2" t="n"/>
      <c r="D109" s="2" t="n"/>
      <c r="E109" t="inlineStr">
        <is>
          <t>% de personas</t>
        </is>
      </c>
      <c r="F109" t="inlineStr">
        <is>
          <t>C1</t>
        </is>
      </c>
      <c r="H109" t="inlineStr">
        <is>
          <t>2020-2024 (renta)</t>
        </is>
      </c>
      <c r="I109" t="inlineStr">
        <is>
          <t>España</t>
        </is>
      </c>
      <c r="J109" t="inlineStr">
        <is>
          <t>España</t>
        </is>
      </c>
      <c r="K109" t="inlineStr">
        <is>
          <t>ECV (INE, microdatos)</t>
        </is>
      </c>
      <c r="L109" t="inlineStr">
        <is>
          <t>Personas (65+) que perciben jubilacion (o viven en un hogar que la percibe), media 2021-2025</t>
        </is>
      </c>
    </row>
    <row r="110">
      <c r="A110" t="inlineStr">
        <is>
          <t>F3_PRE_jubilacion_Resto_UE</t>
        </is>
      </c>
      <c r="B110" s="2" t="n">
        <v>55.9</v>
      </c>
      <c r="C110" s="2" t="n"/>
      <c r="D110" s="2" t="n"/>
      <c r="E110" t="inlineStr">
        <is>
          <t>% de personas</t>
        </is>
      </c>
      <c r="F110" t="inlineStr">
        <is>
          <t>C1</t>
        </is>
      </c>
      <c r="H110" t="inlineStr">
        <is>
          <t>2020-2024 (renta)</t>
        </is>
      </c>
      <c r="I110" t="inlineStr">
        <is>
          <t>España</t>
        </is>
      </c>
      <c r="J110" t="inlineStr">
        <is>
          <t>Resto UE</t>
        </is>
      </c>
      <c r="K110" t="inlineStr">
        <is>
          <t>ECV (INE, microdatos)</t>
        </is>
      </c>
      <c r="L110" t="inlineStr">
        <is>
          <t>Personas (65+) que perciben jubilacion (o viven en un hogar que la percibe), media 2021-2025</t>
        </is>
      </c>
    </row>
    <row r="111">
      <c r="A111" t="inlineStr">
        <is>
          <t>F3_PRE_jubilacion_Resto_del_mundo</t>
        </is>
      </c>
      <c r="B111" s="2" t="n">
        <v>44.1</v>
      </c>
      <c r="C111" s="2" t="n"/>
      <c r="D111" s="2" t="n"/>
      <c r="E111" t="inlineStr">
        <is>
          <t>% de personas</t>
        </is>
      </c>
      <c r="F111" t="inlineStr">
        <is>
          <t>C1</t>
        </is>
      </c>
      <c r="H111" t="inlineStr">
        <is>
          <t>2020-2024 (renta)</t>
        </is>
      </c>
      <c r="I111" t="inlineStr">
        <is>
          <t>España</t>
        </is>
      </c>
      <c r="J111" t="inlineStr">
        <is>
          <t>Resto del mundo</t>
        </is>
      </c>
      <c r="K111" t="inlineStr">
        <is>
          <t>ECV (INE, microdatos)</t>
        </is>
      </c>
      <c r="L111" t="inlineStr">
        <is>
          <t>Personas (65+) que perciben jubilacion (o viven en un hogar que la percibe), media 2021-2025</t>
        </is>
      </c>
    </row>
    <row r="112">
      <c r="A112" t="inlineStr">
        <is>
          <t>F3_PRE_rentas_minimas_IMV_España</t>
        </is>
      </c>
      <c r="B112" s="2" t="n">
        <v>5.5</v>
      </c>
      <c r="C112" s="2" t="n"/>
      <c r="D112" s="2" t="n"/>
      <c r="E112" t="inlineStr">
        <is>
          <t>% de personas</t>
        </is>
      </c>
      <c r="F112" t="inlineStr">
        <is>
          <t>C1</t>
        </is>
      </c>
      <c r="H112" t="inlineStr">
        <is>
          <t>2020-2024 (renta)</t>
        </is>
      </c>
      <c r="I112" t="inlineStr">
        <is>
          <t>España</t>
        </is>
      </c>
      <c r="J112" t="inlineStr">
        <is>
          <t>España</t>
        </is>
      </c>
      <c r="K112" t="inlineStr">
        <is>
          <t>ECV (INE, microdatos)</t>
        </is>
      </c>
      <c r="L112" t="inlineStr">
        <is>
          <t>Personas (todas) que perciben rentas minimas IMV (o viven en un hogar que la percibe), media 2021-2025</t>
        </is>
      </c>
    </row>
    <row r="113">
      <c r="A113" t="inlineStr">
        <is>
          <t>F3_PRE_rentas_minimas_IMV_Resto_UE</t>
        </is>
      </c>
      <c r="B113" s="2" t="n">
        <v>6.5</v>
      </c>
      <c r="C113" s="2" t="n"/>
      <c r="D113" s="2" t="n"/>
      <c r="E113" t="inlineStr">
        <is>
          <t>% de personas</t>
        </is>
      </c>
      <c r="F113" t="inlineStr">
        <is>
          <t>C1</t>
        </is>
      </c>
      <c r="H113" t="inlineStr">
        <is>
          <t>2020-2024 (renta)</t>
        </is>
      </c>
      <c r="I113" t="inlineStr">
        <is>
          <t>España</t>
        </is>
      </c>
      <c r="J113" t="inlineStr">
        <is>
          <t>Resto UE</t>
        </is>
      </c>
      <c r="K113" t="inlineStr">
        <is>
          <t>ECV (INE, microdatos)</t>
        </is>
      </c>
      <c r="L113" t="inlineStr">
        <is>
          <t>Personas (todas) que perciben rentas minimas IMV (o viven en un hogar que la percibe), media 2021-2025</t>
        </is>
      </c>
    </row>
    <row r="114">
      <c r="A114" t="inlineStr">
        <is>
          <t>F3_PRE_rentas_minimas_IMV_Resto_del_mundo</t>
        </is>
      </c>
      <c r="B114" s="2" t="n">
        <v>11.9</v>
      </c>
      <c r="C114" s="2" t="n"/>
      <c r="D114" s="2" t="n"/>
      <c r="E114" t="inlineStr">
        <is>
          <t>% de personas</t>
        </is>
      </c>
      <c r="F114" t="inlineStr">
        <is>
          <t>C1</t>
        </is>
      </c>
      <c r="H114" t="inlineStr">
        <is>
          <t>2020-2024 (renta)</t>
        </is>
      </c>
      <c r="I114" t="inlineStr">
        <is>
          <t>España</t>
        </is>
      </c>
      <c r="J114" t="inlineStr">
        <is>
          <t>Resto del mundo</t>
        </is>
      </c>
      <c r="K114" t="inlineStr">
        <is>
          <t>ECV (INE, microdatos)</t>
        </is>
      </c>
      <c r="L114" t="inlineStr">
        <is>
          <t>Personas (todas) que perciben rentas minimas IMV (o viven en un hogar que la percibe), media 2021-2025</t>
        </is>
      </c>
    </row>
    <row r="115">
      <c r="A115" t="inlineStr">
        <is>
          <t>F3_PRE_supervivencia_España</t>
        </is>
      </c>
      <c r="B115" s="2" t="n">
        <v>7.2</v>
      </c>
      <c r="C115" s="2" t="n"/>
      <c r="D115" s="2" t="n"/>
      <c r="E115" t="inlineStr">
        <is>
          <t>% de personas</t>
        </is>
      </c>
      <c r="F115" t="inlineStr">
        <is>
          <t>C1</t>
        </is>
      </c>
      <c r="H115" t="inlineStr">
        <is>
          <t>2020-2024 (renta)</t>
        </is>
      </c>
      <c r="I115" t="inlineStr">
        <is>
          <t>España</t>
        </is>
      </c>
      <c r="J115" t="inlineStr">
        <is>
          <t>España</t>
        </is>
      </c>
      <c r="K115" t="inlineStr">
        <is>
          <t>ECV (INE, microdatos)</t>
        </is>
      </c>
      <c r="L115" t="inlineStr">
        <is>
          <t>Personas (todas) que perciben supervivencia (o viven en un hogar que la percibe), media 2021-2025</t>
        </is>
      </c>
    </row>
    <row r="116">
      <c r="A116" t="inlineStr">
        <is>
          <t>F3_PRE_supervivencia_Resto_UE</t>
        </is>
      </c>
      <c r="B116" s="2" t="n">
        <v>1.7</v>
      </c>
      <c r="C116" s="2" t="n"/>
      <c r="D116" s="2" t="n"/>
      <c r="E116" t="inlineStr">
        <is>
          <t>% de personas</t>
        </is>
      </c>
      <c r="F116" t="inlineStr">
        <is>
          <t>C1</t>
        </is>
      </c>
      <c r="H116" t="inlineStr">
        <is>
          <t>2020-2024 (renta)</t>
        </is>
      </c>
      <c r="I116" t="inlineStr">
        <is>
          <t>España</t>
        </is>
      </c>
      <c r="J116" t="inlineStr">
        <is>
          <t>Resto UE</t>
        </is>
      </c>
      <c r="K116" t="inlineStr">
        <is>
          <t>ECV (INE, microdatos)</t>
        </is>
      </c>
      <c r="L116" t="inlineStr">
        <is>
          <t>Personas (todas) que perciben supervivencia (o viven en un hogar que la percibe), media 2021-2025</t>
        </is>
      </c>
    </row>
    <row r="117">
      <c r="A117" t="inlineStr">
        <is>
          <t>F3_PRE_supervivencia_Resto_del_mundo</t>
        </is>
      </c>
      <c r="B117" s="2" t="n">
        <v>1.1</v>
      </c>
      <c r="C117" s="2" t="n"/>
      <c r="D117" s="2" t="n"/>
      <c r="E117" t="inlineStr">
        <is>
          <t>% de personas</t>
        </is>
      </c>
      <c r="F117" t="inlineStr">
        <is>
          <t>C1</t>
        </is>
      </c>
      <c r="H117" t="inlineStr">
        <is>
          <t>2020-2024 (renta)</t>
        </is>
      </c>
      <c r="I117" t="inlineStr">
        <is>
          <t>España</t>
        </is>
      </c>
      <c r="J117" t="inlineStr">
        <is>
          <t>Resto del mundo</t>
        </is>
      </c>
      <c r="K117" t="inlineStr">
        <is>
          <t>ECV (INE, microdatos)</t>
        </is>
      </c>
      <c r="L117" t="inlineStr">
        <is>
          <t>Personas (todas) que perciben supervivencia (o viven en un hogar que la percibe), media 2021-2025</t>
        </is>
      </c>
    </row>
    <row r="118">
      <c r="A118" t="inlineStr">
        <is>
          <t>F3_SAL_BRECHA_P10_2022</t>
        </is>
      </c>
      <c r="B118" s="2" t="n">
        <v>-4.5</v>
      </c>
      <c r="C118" s="2" t="n"/>
      <c r="D118" s="2" t="n"/>
      <c r="E118" t="inlineStr">
        <is>
          <t>%</t>
        </is>
      </c>
      <c r="F118" t="inlineStr">
        <is>
          <t>C1</t>
        </is>
      </c>
      <c r="H118" t="inlineStr">
        <is>
          <t>octubre 2022</t>
        </is>
      </c>
      <c r="I118" t="inlineStr">
        <is>
          <t>España</t>
        </is>
      </c>
      <c r="J118" t="inlineStr">
        <is>
          <t>nacionalidad extranjera</t>
        </is>
      </c>
      <c r="K118" t="inlineStr">
        <is>
          <t>Encuesta de Estructura Salarial (INE)</t>
        </is>
      </c>
      <c r="L118" t="inlineStr">
        <is>
          <t>Brecha de salario por hora en el percentil 10 (extranjeros frente a españoles)</t>
        </is>
      </c>
    </row>
    <row r="119">
      <c r="A119" t="inlineStr">
        <is>
          <t>F3_SAL_BRECHA_P50_2022</t>
        </is>
      </c>
      <c r="B119" s="2" t="n">
        <v>-19.4</v>
      </c>
      <c r="C119" s="2" t="n"/>
      <c r="D119" s="2" t="n"/>
      <c r="E119" t="inlineStr">
        <is>
          <t>%</t>
        </is>
      </c>
      <c r="F119" t="inlineStr">
        <is>
          <t>C1</t>
        </is>
      </c>
      <c r="H119" t="inlineStr">
        <is>
          <t>octubre 2022</t>
        </is>
      </c>
      <c r="I119" t="inlineStr">
        <is>
          <t>España</t>
        </is>
      </c>
      <c r="J119" t="inlineStr">
        <is>
          <t>nacionalidad extranjera</t>
        </is>
      </c>
      <c r="K119" t="inlineStr">
        <is>
          <t>Encuesta de Estructura Salarial (INE)</t>
        </is>
      </c>
      <c r="L119" t="inlineStr">
        <is>
          <t>Brecha de salario por hora en el percentil 50 (extranjeros frente a españoles)</t>
        </is>
      </c>
    </row>
    <row r="120">
      <c r="A120" t="inlineStr">
        <is>
          <t>F3_SAL_BRECHA_P90_2022</t>
        </is>
      </c>
      <c r="B120" s="2" t="n">
        <v>-26.5</v>
      </c>
      <c r="C120" s="2" t="n"/>
      <c r="D120" s="2" t="n"/>
      <c r="E120" t="inlineStr">
        <is>
          <t>%</t>
        </is>
      </c>
      <c r="F120" t="inlineStr">
        <is>
          <t>C1</t>
        </is>
      </c>
      <c r="H120" t="inlineStr">
        <is>
          <t>octubre 2022</t>
        </is>
      </c>
      <c r="I120" t="inlineStr">
        <is>
          <t>España</t>
        </is>
      </c>
      <c r="J120" t="inlineStr">
        <is>
          <t>nacionalidad extranjera</t>
        </is>
      </c>
      <c r="K120" t="inlineStr">
        <is>
          <t>Encuesta de Estructura Salarial (INE)</t>
        </is>
      </c>
      <c r="L120" t="inlineStr">
        <is>
          <t>Brecha de salario por hora en el percentil 90 (extranjeros frente a españoles)</t>
        </is>
      </c>
    </row>
    <row r="121">
      <c r="A121" t="inlineStr">
        <is>
          <t>F3_SAL_BRECHA_bruto_2022</t>
        </is>
      </c>
      <c r="B121" s="2" t="n">
        <v>-18.1</v>
      </c>
      <c r="C121" s="2" t="n">
        <v>-19.4</v>
      </c>
      <c r="D121" s="2" t="n">
        <v>-16.6</v>
      </c>
      <c r="E121" t="inlineStr">
        <is>
          <t>% del salario por hora</t>
        </is>
      </c>
      <c r="F121" t="inlineStr">
        <is>
          <t>C1</t>
        </is>
      </c>
      <c r="H121" t="inlineStr">
        <is>
          <t>octubre 2022</t>
        </is>
      </c>
      <c r="I121" t="inlineStr">
        <is>
          <t>España</t>
        </is>
      </c>
      <c r="J121" t="inlineStr">
        <is>
          <t>nacionalidad extranjera</t>
        </is>
      </c>
      <c r="K121" t="inlineStr">
        <is>
          <t>Encuesta de Estructura Salarial (INE)</t>
        </is>
      </c>
      <c r="L121" t="inlineStr">
        <is>
          <t>Brecha de salario por hora de extranjeros frente a españoles (bruto)</t>
        </is>
      </c>
    </row>
    <row r="122">
      <c r="A122" t="inlineStr">
        <is>
          <t>F3_SAL_BRECHA_completo_2022</t>
        </is>
      </c>
      <c r="B122" s="2" t="n">
        <v>-6.2</v>
      </c>
      <c r="C122" s="2" t="n">
        <v>-7.5</v>
      </c>
      <c r="D122" s="2" t="n">
        <v>-4.9</v>
      </c>
      <c r="E122" t="inlineStr">
        <is>
          <t>% del salario por hora</t>
        </is>
      </c>
      <c r="F122" t="inlineStr">
        <is>
          <t>C4</t>
        </is>
      </c>
      <c r="H122" t="inlineStr">
        <is>
          <t>octubre 2022</t>
        </is>
      </c>
      <c r="I122" t="inlineStr">
        <is>
          <t>España</t>
        </is>
      </c>
      <c r="J122" t="inlineStr">
        <is>
          <t>nacionalidad extranjera</t>
        </is>
      </c>
      <c r="K122" t="inlineStr">
        <is>
          <t>Encuesta de Estructura Salarial (INE)</t>
        </is>
      </c>
      <c r="L122" t="inlineStr">
        <is>
          <t>Brecha de salario por hora de extranjeros frente a españoles (completo)</t>
        </is>
      </c>
    </row>
    <row r="123">
      <c r="A123" t="inlineStr">
        <is>
          <t>F3_SAL_BRECHA_completo_inf_2022</t>
        </is>
      </c>
      <c r="B123" s="2" t="n">
        <v>-3</v>
      </c>
      <c r="C123" s="2" t="n">
        <v>-4.3</v>
      </c>
      <c r="D123" s="2" t="n">
        <v>-1.8</v>
      </c>
      <c r="E123" t="inlineStr">
        <is>
          <t>% del salario por hora</t>
        </is>
      </c>
      <c r="F123" t="inlineStr">
        <is>
          <t>C4</t>
        </is>
      </c>
      <c r="H123" t="inlineStr">
        <is>
          <t>octubre 2022</t>
        </is>
      </c>
      <c r="I123" t="inlineStr">
        <is>
          <t>España</t>
        </is>
      </c>
      <c r="J123" t="inlineStr">
        <is>
          <t>nacionalidad extranjera</t>
        </is>
      </c>
      <c r="K123" t="inlineStr">
        <is>
          <t>Encuesta de Estructura Salarial (INE)</t>
        </is>
      </c>
      <c r="L123" t="inlineStr">
        <is>
          <t>Brecha de salario por hora de extranjeros frente a españoles (completo + ocupación, sector, contrato y jornada (informativo))</t>
        </is>
      </c>
    </row>
    <row r="124">
      <c r="A124" t="inlineStr">
        <is>
          <t>F3_SAL_BRECHA_edad_2022</t>
        </is>
      </c>
      <c r="B124" s="2" t="n">
        <v>-15.5</v>
      </c>
      <c r="C124" s="2" t="n">
        <v>-16.9</v>
      </c>
      <c r="D124" s="2" t="n">
        <v>-14.1</v>
      </c>
      <c r="E124" t="inlineStr">
        <is>
          <t>% del salario por hora</t>
        </is>
      </c>
      <c r="F124" t="inlineStr">
        <is>
          <t>C4</t>
        </is>
      </c>
      <c r="H124" t="inlineStr">
        <is>
          <t>octubre 2022</t>
        </is>
      </c>
      <c r="I124" t="inlineStr">
        <is>
          <t>España</t>
        </is>
      </c>
      <c r="J124" t="inlineStr">
        <is>
          <t>nacionalidad extranjera</t>
        </is>
      </c>
      <c r="K124" t="inlineStr">
        <is>
          <t>Encuesta de Estructura Salarial (INE)</t>
        </is>
      </c>
      <c r="L124" t="inlineStr">
        <is>
          <t>Brecha de salario por hora de extranjeros frente a españoles (edad y sexo)</t>
        </is>
      </c>
    </row>
    <row r="125">
      <c r="A125" t="inlineStr">
        <is>
          <t>F3_SAL_COMPOSICION_P10_2022</t>
        </is>
      </c>
      <c r="B125" s="2" t="n">
        <v>64</v>
      </c>
      <c r="C125" s="2" t="n"/>
      <c r="D125" s="2" t="n"/>
      <c r="E125" t="inlineStr">
        <is>
          <t>% de la brecha</t>
        </is>
      </c>
      <c r="F125" t="inlineStr">
        <is>
          <t>C4</t>
        </is>
      </c>
      <c r="H125" t="inlineStr">
        <is>
          <t>octubre 2022</t>
        </is>
      </c>
      <c r="I125" t="inlineStr">
        <is>
          <t>España</t>
        </is>
      </c>
      <c r="J125" t="inlineStr">
        <is>
          <t>nacionalidad extranjera</t>
        </is>
      </c>
      <c r="K125" t="inlineStr">
        <is>
          <t>Encuesta de Estructura Salarial (INE)</t>
        </is>
      </c>
      <c r="L125" t="inlineStr">
        <is>
          <t>Parte de la brecha en el percentil 10 explicada por composición (edad, sexo, estudios, región; DFL)</t>
        </is>
      </c>
    </row>
    <row r="126">
      <c r="A126" t="inlineStr">
        <is>
          <t>F3_SAL_COMPOSICION_P50_2022</t>
        </is>
      </c>
      <c r="B126" s="2" t="n">
        <v>62</v>
      </c>
      <c r="C126" s="2" t="n"/>
      <c r="D126" s="2" t="n"/>
      <c r="E126" t="inlineStr">
        <is>
          <t>% de la brecha</t>
        </is>
      </c>
      <c r="F126" t="inlineStr">
        <is>
          <t>C4</t>
        </is>
      </c>
      <c r="H126" t="inlineStr">
        <is>
          <t>octubre 2022</t>
        </is>
      </c>
      <c r="I126" t="inlineStr">
        <is>
          <t>España</t>
        </is>
      </c>
      <c r="J126" t="inlineStr">
        <is>
          <t>nacionalidad extranjera</t>
        </is>
      </c>
      <c r="K126" t="inlineStr">
        <is>
          <t>Encuesta de Estructura Salarial (INE)</t>
        </is>
      </c>
      <c r="L126" t="inlineStr">
        <is>
          <t>Parte de la brecha en el percentil 50 explicada por composición (edad, sexo, estudios, región; DFL)</t>
        </is>
      </c>
    </row>
    <row r="127">
      <c r="A127" t="inlineStr">
        <is>
          <t>F3_SAL_COMPOSICION_P90_2022</t>
        </is>
      </c>
      <c r="B127" s="2" t="n">
        <v>66</v>
      </c>
      <c r="C127" s="2" t="n"/>
      <c r="D127" s="2" t="n"/>
      <c r="E127" t="inlineStr">
        <is>
          <t>% de la brecha</t>
        </is>
      </c>
      <c r="F127" t="inlineStr">
        <is>
          <t>C4</t>
        </is>
      </c>
      <c r="H127" t="inlineStr">
        <is>
          <t>octubre 2022</t>
        </is>
      </c>
      <c r="I127" t="inlineStr">
        <is>
          <t>España</t>
        </is>
      </c>
      <c r="J127" t="inlineStr">
        <is>
          <t>nacionalidad extranjera</t>
        </is>
      </c>
      <c r="K127" t="inlineStr">
        <is>
          <t>Encuesta de Estructura Salarial (INE)</t>
        </is>
      </c>
      <c r="L127" t="inlineStr">
        <is>
          <t>Parte de la brecha en el percentil 90 explicada por composición (edad, sexo, estudios, región; DFL)</t>
        </is>
      </c>
    </row>
    <row r="128">
      <c r="A128" t="inlineStr">
        <is>
          <t>F3_SAL_ECV_BRECHA_Resto_UE_2024</t>
        </is>
      </c>
      <c r="B128" s="2" t="n">
        <v>-16.8</v>
      </c>
      <c r="C128" s="2" t="n"/>
      <c r="D128" s="2" t="n"/>
      <c r="E128" t="inlineStr">
        <is>
          <t>% de la mediana</t>
        </is>
      </c>
      <c r="F128" t="inlineStr">
        <is>
          <t>C1</t>
        </is>
      </c>
      <c r="H128" t="inlineStr">
        <is>
          <t>2024</t>
        </is>
      </c>
      <c r="I128" t="inlineStr">
        <is>
          <t>España</t>
        </is>
      </c>
      <c r="J128" t="inlineStr">
        <is>
          <t>Resto UE</t>
        </is>
      </c>
      <c r="K128" t="inlineStr">
        <is>
          <t>ECV (INE)</t>
        </is>
      </c>
      <c r="L128" t="inlineStr">
        <is>
          <t>Brecha de la mediana de rendimientos del trabajo anuales de asalariados a jornada completa todo el año (Resto UE frente a nacidos en España)</t>
        </is>
      </c>
    </row>
    <row r="129">
      <c r="A129" t="inlineStr">
        <is>
          <t>F3_SAL_ECV_BRECHA_Resto_del_mundo_2024</t>
        </is>
      </c>
      <c r="B129" s="2" t="n">
        <v>-29.5</v>
      </c>
      <c r="C129" s="2" t="n"/>
      <c r="D129" s="2" t="n"/>
      <c r="E129" t="inlineStr">
        <is>
          <t>% de la mediana</t>
        </is>
      </c>
      <c r="F129" t="inlineStr">
        <is>
          <t>C1</t>
        </is>
      </c>
      <c r="H129" t="inlineStr">
        <is>
          <t>2024</t>
        </is>
      </c>
      <c r="I129" t="inlineStr">
        <is>
          <t>España</t>
        </is>
      </c>
      <c r="J129" t="inlineStr">
        <is>
          <t>Resto del mundo</t>
        </is>
      </c>
      <c r="K129" t="inlineStr">
        <is>
          <t>ECV (INE)</t>
        </is>
      </c>
      <c r="L129" t="inlineStr">
        <is>
          <t>Brecha de la mediana de rendimientos del trabajo anuales de asalariados a jornada completa todo el año (Resto del mundo frente a nacidos en España)</t>
        </is>
      </c>
    </row>
    <row r="130">
      <c r="A130" t="inlineStr">
        <is>
          <t>F3_SAL_OAXACA_COMPOSICION_2022</t>
        </is>
      </c>
      <c r="B130" s="2" t="n">
        <v>68</v>
      </c>
      <c r="C130" s="2" t="n"/>
      <c r="D130" s="2" t="n"/>
      <c r="E130" t="inlineStr">
        <is>
          <t>% de la brecha media del log</t>
        </is>
      </c>
      <c r="F130" t="inlineStr">
        <is>
          <t>C4</t>
        </is>
      </c>
      <c r="H130" t="inlineStr">
        <is>
          <t>octubre 2022</t>
        </is>
      </c>
      <c r="I130" t="inlineStr">
        <is>
          <t>España</t>
        </is>
      </c>
      <c r="J130" t="inlineStr">
        <is>
          <t>nacionalidad extranjera</t>
        </is>
      </c>
      <c r="K130" t="inlineStr">
        <is>
          <t>Encuesta de Estructura Salarial (INE)</t>
        </is>
      </c>
      <c r="L130" t="inlineStr">
        <is>
          <t>Parte de la brecha media explicada por composición (Oaxaca-Blinder; edad, sexo, estudios, región)</t>
        </is>
      </c>
    </row>
    <row r="131">
      <c r="A131" t="inlineStr">
        <is>
          <t>F3_VIV_DEMANDA_ESPANA_2015_2022</t>
        </is>
      </c>
      <c r="B131" s="2" t="n">
        <v>-225</v>
      </c>
      <c r="C131" s="2" t="n"/>
      <c r="D131" s="2" t="n"/>
      <c r="E131" t="inlineStr">
        <is>
          <t>miles de hogares</t>
        </is>
      </c>
      <c r="F131" t="inlineStr">
        <is>
          <t>C2</t>
        </is>
      </c>
      <c r="H131" t="inlineStr">
        <is>
          <t>2015-2022</t>
        </is>
      </c>
      <c r="I131" t="inlineStr">
        <is>
          <t>España</t>
        </is>
      </c>
      <c r="J131" t="inlineStr">
        <is>
          <t>España</t>
        </is>
      </c>
      <c r="K131" t="inlineStr">
        <is>
          <t>Padrón (INE) y ECV (INE)</t>
        </is>
      </c>
      <c r="L131" t="inlineStr">
        <is>
          <t>Hogares implicados por la variación de población 2015-2022 de los nacidos en España a tasa de jefatura constante (ECV 2021-2025 por grupo y región); no incluye la formación de hogares por envejecimiento ni por cambios de la tasa de jefatura</t>
        </is>
      </c>
    </row>
    <row r="132">
      <c r="A132" t="inlineStr">
        <is>
          <t>F3_VIV_DEMANDA_FUERA_2015_2022</t>
        </is>
      </c>
      <c r="B132" s="2" t="n">
        <v>477</v>
      </c>
      <c r="C132" s="2" t="n"/>
      <c r="D132" s="2" t="n"/>
      <c r="E132" t="inlineStr">
        <is>
          <t>miles de hogares</t>
        </is>
      </c>
      <c r="F132" t="inlineStr">
        <is>
          <t>C2</t>
        </is>
      </c>
      <c r="H132" t="inlineStr">
        <is>
          <t>2015-2022</t>
        </is>
      </c>
      <c r="I132" t="inlineStr">
        <is>
          <t>España</t>
        </is>
      </c>
      <c r="J132" t="inlineStr">
        <is>
          <t>nacidos fuera</t>
        </is>
      </c>
      <c r="K132" t="inlineStr">
        <is>
          <t>Padrón (INE) y ECV (INE)</t>
        </is>
      </c>
      <c r="L132" t="inlineStr">
        <is>
          <t>Hogares implicados por la variación de población 2015-2022 de los nacidos fuera a tasa de jefatura constante (ECV 2021-2025 por grupo y región); no incluye la formación de hogares por envejecimiento ni por cambios de la tasa de jefatura</t>
        </is>
      </c>
    </row>
    <row r="133">
      <c r="A133" t="inlineStr">
        <is>
          <t>F3_VIV_EU_ilc_lvho16_EU27_2020_FOR_ES_2025</t>
        </is>
      </c>
      <c r="B133" s="2" t="n">
        <v>8.699999999999999</v>
      </c>
      <c r="C133" s="2" t="n"/>
      <c r="D133" s="2" t="n"/>
      <c r="E133" t="inlineStr">
        <is>
          <t>%</t>
        </is>
      </c>
      <c r="F133" t="inlineStr">
        <is>
          <t>C1</t>
        </is>
      </c>
      <c r="H133" t="inlineStr">
        <is>
          <t>2025</t>
        </is>
      </c>
      <c r="I133" t="inlineStr">
        <is>
          <t>España</t>
        </is>
      </c>
      <c r="J133" t="inlineStr">
        <is>
          <t>EU27_2020_FOR</t>
        </is>
      </c>
      <c r="K133" t="inlineStr">
        <is>
          <t>Eurostat ilc_lvho16</t>
        </is>
      </c>
      <c r="L133" t="inlineStr">
        <is>
          <t>Tasa de hacinamiento (18+), España, EU27_2020_FOR</t>
        </is>
      </c>
    </row>
    <row r="134">
      <c r="A134" t="inlineStr">
        <is>
          <t>F3_VIV_EU_ilc_lvho16_FOR_ES_2025</t>
        </is>
      </c>
      <c r="B134" s="2" t="n">
        <v>19.6</v>
      </c>
      <c r="C134" s="2" t="n"/>
      <c r="D134" s="2" t="n"/>
      <c r="E134" t="inlineStr">
        <is>
          <t>%</t>
        </is>
      </c>
      <c r="F134" t="inlineStr">
        <is>
          <t>C1</t>
        </is>
      </c>
      <c r="H134" t="inlineStr">
        <is>
          <t>2025</t>
        </is>
      </c>
      <c r="I134" t="inlineStr">
        <is>
          <t>España</t>
        </is>
      </c>
      <c r="J134" t="inlineStr">
        <is>
          <t>FOR</t>
        </is>
      </c>
      <c r="K134" t="inlineStr">
        <is>
          <t>Eurostat ilc_lvho16</t>
        </is>
      </c>
      <c r="L134" t="inlineStr">
        <is>
          <t>Tasa de hacinamiento (18+), España, FOR</t>
        </is>
      </c>
    </row>
    <row r="135">
      <c r="A135" t="inlineStr">
        <is>
          <t>F3_VIV_EU_ilc_lvho16_NAT_ES_2025</t>
        </is>
      </c>
      <c r="B135" s="2" t="n">
        <v>5.6</v>
      </c>
      <c r="C135" s="2" t="n"/>
      <c r="D135" s="2" t="n"/>
      <c r="E135" t="inlineStr">
        <is>
          <t>%</t>
        </is>
      </c>
      <c r="F135" t="inlineStr">
        <is>
          <t>C1</t>
        </is>
      </c>
      <c r="H135" t="inlineStr">
        <is>
          <t>2025</t>
        </is>
      </c>
      <c r="I135" t="inlineStr">
        <is>
          <t>España</t>
        </is>
      </c>
      <c r="J135" t="inlineStr">
        <is>
          <t>NAT</t>
        </is>
      </c>
      <c r="K135" t="inlineStr">
        <is>
          <t>Eurostat ilc_lvho16</t>
        </is>
      </c>
      <c r="L135" t="inlineStr">
        <is>
          <t>Tasa de hacinamiento (18+), España, NAT</t>
        </is>
      </c>
    </row>
    <row r="136">
      <c r="A136" t="inlineStr">
        <is>
          <t>F3_VIV_EU_ilc_lvho16_NEU27_2020_FOR_ES_2025</t>
        </is>
      </c>
      <c r="B136" s="2" t="n">
        <v>22.3</v>
      </c>
      <c r="C136" s="2" t="n"/>
      <c r="D136" s="2" t="n"/>
      <c r="E136" t="inlineStr">
        <is>
          <t>%</t>
        </is>
      </c>
      <c r="F136" t="inlineStr">
        <is>
          <t>C1</t>
        </is>
      </c>
      <c r="H136" t="inlineStr">
        <is>
          <t>2025</t>
        </is>
      </c>
      <c r="I136" t="inlineStr">
        <is>
          <t>España</t>
        </is>
      </c>
      <c r="J136" t="inlineStr">
        <is>
          <t>NEU27_2020_FOR</t>
        </is>
      </c>
      <c r="K136" t="inlineStr">
        <is>
          <t>Eurostat ilc_lvho16</t>
        </is>
      </c>
      <c r="L136" t="inlineStr">
        <is>
          <t>Tasa de hacinamiento (18+), España, NEU27_2020_FOR</t>
        </is>
      </c>
    </row>
    <row r="137">
      <c r="A137" t="inlineStr">
        <is>
          <t>F3_VIV_EU_ilc_lvho26_EU27_2020_FOR_ES_2025</t>
        </is>
      </c>
      <c r="B137" s="2" t="n">
        <v>17.8</v>
      </c>
      <c r="C137" s="2" t="n"/>
      <c r="D137" s="2" t="n"/>
      <c r="E137" t="inlineStr">
        <is>
          <t>%</t>
        </is>
      </c>
      <c r="F137" t="inlineStr">
        <is>
          <t>C1</t>
        </is>
      </c>
      <c r="H137" t="inlineStr">
        <is>
          <t>2025</t>
        </is>
      </c>
      <c r="I137" t="inlineStr">
        <is>
          <t>España</t>
        </is>
      </c>
      <c r="J137" t="inlineStr">
        <is>
          <t>EU27_2020_FOR</t>
        </is>
      </c>
      <c r="K137" t="inlineStr">
        <is>
          <t>Eurostat ilc_lvho26</t>
        </is>
      </c>
      <c r="L137" t="inlineStr">
        <is>
          <t>Tasa de sobrecarga del coste de la vivienda (18+), España, EU27_2020_FOR</t>
        </is>
      </c>
    </row>
    <row r="138">
      <c r="A138" t="inlineStr">
        <is>
          <t>F3_VIV_EU_ilc_lvho26_FOR_ES_2025</t>
        </is>
      </c>
      <c r="B138" s="2" t="n">
        <v>19.8</v>
      </c>
      <c r="C138" s="2" t="n"/>
      <c r="D138" s="2" t="n"/>
      <c r="E138" t="inlineStr">
        <is>
          <t>%</t>
        </is>
      </c>
      <c r="F138" t="inlineStr">
        <is>
          <t>C1</t>
        </is>
      </c>
      <c r="H138" t="inlineStr">
        <is>
          <t>2025</t>
        </is>
      </c>
      <c r="I138" t="inlineStr">
        <is>
          <t>España</t>
        </is>
      </c>
      <c r="J138" t="inlineStr">
        <is>
          <t>FOR</t>
        </is>
      </c>
      <c r="K138" t="inlineStr">
        <is>
          <t>Eurostat ilc_lvho26</t>
        </is>
      </c>
      <c r="L138" t="inlineStr">
        <is>
          <t>Tasa de sobrecarga del coste de la vivienda (18+), España, FOR</t>
        </is>
      </c>
    </row>
    <row r="139">
      <c r="A139" t="inlineStr">
        <is>
          <t>F3_VIV_EU_ilc_lvho26_NAT_ES_2025</t>
        </is>
      </c>
      <c r="B139" s="2" t="n">
        <v>3.7</v>
      </c>
      <c r="C139" s="2" t="n"/>
      <c r="D139" s="2" t="n"/>
      <c r="E139" t="inlineStr">
        <is>
          <t>%</t>
        </is>
      </c>
      <c r="F139" t="inlineStr">
        <is>
          <t>C1</t>
        </is>
      </c>
      <c r="H139" t="inlineStr">
        <is>
          <t>2025</t>
        </is>
      </c>
      <c r="I139" t="inlineStr">
        <is>
          <t>España</t>
        </is>
      </c>
      <c r="J139" t="inlineStr">
        <is>
          <t>NAT</t>
        </is>
      </c>
      <c r="K139" t="inlineStr">
        <is>
          <t>Eurostat ilc_lvho26</t>
        </is>
      </c>
      <c r="L139" t="inlineStr">
        <is>
          <t>Tasa de sobrecarga del coste de la vivienda (18+), España, NAT</t>
        </is>
      </c>
    </row>
    <row r="140">
      <c r="A140" t="inlineStr">
        <is>
          <t>F3_VIV_EU_ilc_lvho26_NEU27_2020_FOR_ES_2025</t>
        </is>
      </c>
      <c r="B140" s="2" t="n">
        <v>20.2</v>
      </c>
      <c r="C140" s="2" t="n"/>
      <c r="D140" s="2" t="n"/>
      <c r="E140" t="inlineStr">
        <is>
          <t>%</t>
        </is>
      </c>
      <c r="F140" t="inlineStr">
        <is>
          <t>C1</t>
        </is>
      </c>
      <c r="H140" t="inlineStr">
        <is>
          <t>2025</t>
        </is>
      </c>
      <c r="I140" t="inlineStr">
        <is>
          <t>España</t>
        </is>
      </c>
      <c r="J140" t="inlineStr">
        <is>
          <t>NEU27_2020_FOR</t>
        </is>
      </c>
      <c r="K140" t="inlineStr">
        <is>
          <t>Eurostat ilc_lvho26</t>
        </is>
      </c>
      <c r="L140" t="inlineStr">
        <is>
          <t>Tasa de sobrecarga del coste de la vivienda (18+), España, NEU27_2020_FOR</t>
        </is>
      </c>
    </row>
    <row r="141">
      <c r="A141" t="inlineStr">
        <is>
          <t>F3_VIV_EU_ilc_lvps16_EU27_2020_FOR_ES_2025</t>
        </is>
      </c>
      <c r="B141" s="2" t="n">
        <v>55.8</v>
      </c>
      <c r="C141" s="2" t="n"/>
      <c r="D141" s="2" t="n"/>
      <c r="E141" t="inlineStr">
        <is>
          <t>%</t>
        </is>
      </c>
      <c r="F141" t="inlineStr">
        <is>
          <t>C1</t>
        </is>
      </c>
      <c r="H141" t="inlineStr">
        <is>
          <t>2025</t>
        </is>
      </c>
      <c r="I141" t="inlineStr">
        <is>
          <t>España</t>
        </is>
      </c>
      <c r="J141" t="inlineStr">
        <is>
          <t>EU27_2020_FOR</t>
        </is>
      </c>
      <c r="K141" t="inlineStr">
        <is>
          <t>Eurostat ilc_lvps16</t>
        </is>
      </c>
      <c r="L141" t="inlineStr">
        <is>
          <t>Personas en vivienda en propiedad (18+), España, EU27_2020_FOR</t>
        </is>
      </c>
    </row>
    <row r="142">
      <c r="A142" t="inlineStr">
        <is>
          <t>F3_VIV_EU_ilc_lvps16_FOR_ES_2025</t>
        </is>
      </c>
      <c r="B142" s="2" t="n">
        <v>38.7</v>
      </c>
      <c r="C142" s="2" t="n"/>
      <c r="D142" s="2" t="n"/>
      <c r="E142" t="inlineStr">
        <is>
          <t>%</t>
        </is>
      </c>
      <c r="F142" t="inlineStr">
        <is>
          <t>C1</t>
        </is>
      </c>
      <c r="H142" t="inlineStr">
        <is>
          <t>2025</t>
        </is>
      </c>
      <c r="I142" t="inlineStr">
        <is>
          <t>España</t>
        </is>
      </c>
      <c r="J142" t="inlineStr">
        <is>
          <t>FOR</t>
        </is>
      </c>
      <c r="K142" t="inlineStr">
        <is>
          <t>Eurostat ilc_lvps16</t>
        </is>
      </c>
      <c r="L142" t="inlineStr">
        <is>
          <t>Personas en vivienda en propiedad (18+), España, FOR</t>
        </is>
      </c>
    </row>
    <row r="143">
      <c r="A143" t="inlineStr">
        <is>
          <t>F3_VIV_EU_ilc_lvps16_NAT_ES_2025</t>
        </is>
      </c>
      <c r="B143" s="2" t="n">
        <v>84.09999999999999</v>
      </c>
      <c r="C143" s="2" t="n"/>
      <c r="D143" s="2" t="n"/>
      <c r="E143" t="inlineStr">
        <is>
          <t>%</t>
        </is>
      </c>
      <c r="F143" t="inlineStr">
        <is>
          <t>C1</t>
        </is>
      </c>
      <c r="H143" t="inlineStr">
        <is>
          <t>2025</t>
        </is>
      </c>
      <c r="I143" t="inlineStr">
        <is>
          <t>España</t>
        </is>
      </c>
      <c r="J143" t="inlineStr">
        <is>
          <t>NAT</t>
        </is>
      </c>
      <c r="K143" t="inlineStr">
        <is>
          <t>Eurostat ilc_lvps16</t>
        </is>
      </c>
      <c r="L143" t="inlineStr">
        <is>
          <t>Personas en vivienda en propiedad (18+), España, NAT</t>
        </is>
      </c>
    </row>
    <row r="144">
      <c r="A144" t="inlineStr">
        <is>
          <t>F3_VIV_EU_ilc_lvps16_NEU27_2020_FOR_ES_2025</t>
        </is>
      </c>
      <c r="B144" s="2" t="n">
        <v>34.5</v>
      </c>
      <c r="C144" s="2" t="n"/>
      <c r="D144" s="2" t="n"/>
      <c r="E144" t="inlineStr">
        <is>
          <t>%</t>
        </is>
      </c>
      <c r="F144" t="inlineStr">
        <is>
          <t>C1</t>
        </is>
      </c>
      <c r="H144" t="inlineStr">
        <is>
          <t>2025</t>
        </is>
      </c>
      <c r="I144" t="inlineStr">
        <is>
          <t>España</t>
        </is>
      </c>
      <c r="J144" t="inlineStr">
        <is>
          <t>NEU27_2020_FOR</t>
        </is>
      </c>
      <c r="K144" t="inlineStr">
        <is>
          <t>Eurostat ilc_lvps16</t>
        </is>
      </c>
      <c r="L144" t="inlineStr">
        <is>
          <t>Personas en vivienda en propiedad (18+), España, NEU27_2020_FOR</t>
        </is>
      </c>
    </row>
    <row r="145">
      <c r="A145" t="inlineStr">
        <is>
          <t>F3_VIV_alquiler_mercado_Resto_UE_2021_2025</t>
        </is>
      </c>
      <c r="B145" s="2" t="n">
        <v>38.3</v>
      </c>
      <c r="C145" s="2" t="n"/>
      <c r="D145" s="2" t="n"/>
      <c r="E145" t="inlineStr">
        <is>
          <t>% de personas</t>
        </is>
      </c>
      <c r="F145" t="inlineStr">
        <is>
          <t>C1</t>
        </is>
      </c>
      <c r="H145" t="inlineStr">
        <is>
          <t>2021-2025</t>
        </is>
      </c>
      <c r="I145" t="inlineStr">
        <is>
          <t>España</t>
        </is>
      </c>
      <c r="J145" t="inlineStr">
        <is>
          <t>Resto UE</t>
        </is>
      </c>
      <c r="K145" t="inlineStr">
        <is>
          <t>ECV (INE, microdatos)</t>
        </is>
      </c>
      <c r="L145" t="inlineStr">
        <is>
          <t>alquiler mercado: personas nacidas en Resto UE (media 2021-2025)</t>
        </is>
      </c>
    </row>
    <row r="146">
      <c r="A146" t="inlineStr">
        <is>
          <t>F3_VIV_alquiler_mercado_Resto_del_mundo_2021_2025</t>
        </is>
      </c>
      <c r="B146" s="2" t="n">
        <v>56.9</v>
      </c>
      <c r="C146" s="2" t="n"/>
      <c r="D146" s="2" t="n"/>
      <c r="E146" t="inlineStr">
        <is>
          <t>% de personas</t>
        </is>
      </c>
      <c r="F146" t="inlineStr">
        <is>
          <t>C1</t>
        </is>
      </c>
      <c r="H146" t="inlineStr">
        <is>
          <t>2021-2025</t>
        </is>
      </c>
      <c r="I146" t="inlineStr">
        <is>
          <t>España</t>
        </is>
      </c>
      <c r="J146" t="inlineStr">
        <is>
          <t>Resto del mundo</t>
        </is>
      </c>
      <c r="K146" t="inlineStr">
        <is>
          <t>ECV (INE, microdatos)</t>
        </is>
      </c>
      <c r="L146" t="inlineStr">
        <is>
          <t>alquiler mercado: personas nacidas en Resto del mundo (media 2021-2025)</t>
        </is>
      </c>
    </row>
    <row r="147">
      <c r="A147" t="inlineStr">
        <is>
          <t>F3_VIV_densidad_alta_Resto_UE_2021_2025</t>
        </is>
      </c>
      <c r="B147" s="2" t="n">
        <v>8.300000000000001</v>
      </c>
      <c r="C147" s="2" t="n"/>
      <c r="D147" s="2" t="n"/>
      <c r="E147" t="inlineStr">
        <is>
          <t>% de personas</t>
        </is>
      </c>
      <c r="F147" t="inlineStr">
        <is>
          <t>C1</t>
        </is>
      </c>
      <c r="H147" t="inlineStr">
        <is>
          <t>2021-2025</t>
        </is>
      </c>
      <c r="I147" t="inlineStr">
        <is>
          <t>España</t>
        </is>
      </c>
      <c r="J147" t="inlineStr">
        <is>
          <t>Resto UE</t>
        </is>
      </c>
      <c r="K147" t="inlineStr">
        <is>
          <t>ECV (INE, microdatos)</t>
        </is>
      </c>
      <c r="L147" t="inlineStr">
        <is>
          <t>densidad alta: personas nacidas en Resto UE (media 2021-2025)</t>
        </is>
      </c>
    </row>
    <row r="148">
      <c r="A148" t="inlineStr">
        <is>
          <t>F3_VIV_densidad_alta_Resto_del_mundo_2021_2025</t>
        </is>
      </c>
      <c r="B148" s="2" t="n">
        <v>24.7</v>
      </c>
      <c r="C148" s="2" t="n"/>
      <c r="D148" s="2" t="n"/>
      <c r="E148" t="inlineStr">
        <is>
          <t>% de personas</t>
        </is>
      </c>
      <c r="F148" t="inlineStr">
        <is>
          <t>C1</t>
        </is>
      </c>
      <c r="H148" t="inlineStr">
        <is>
          <t>2021-2025</t>
        </is>
      </c>
      <c r="I148" t="inlineStr">
        <is>
          <t>España</t>
        </is>
      </c>
      <c r="J148" t="inlineStr">
        <is>
          <t>Resto del mundo</t>
        </is>
      </c>
      <c r="K148" t="inlineStr">
        <is>
          <t>ECV (INE, microdatos)</t>
        </is>
      </c>
      <c r="L148" t="inlineStr">
        <is>
          <t>densidad alta: personas nacidas en Resto del mundo (media 2021-2025)</t>
        </is>
      </c>
    </row>
    <row r="149">
      <c r="A149" t="inlineStr">
        <is>
          <t>F3_VIV_propietario_BRECHA_COMPLETO_Resto_UE</t>
        </is>
      </c>
      <c r="B149" s="2" t="n">
        <v>-28.2</v>
      </c>
      <c r="C149" s="2" t="n">
        <v>-30.5</v>
      </c>
      <c r="D149" s="2" t="n">
        <v>-25.9</v>
      </c>
      <c r="E149" t="inlineStr">
        <is>
          <t>pp</t>
        </is>
      </c>
      <c r="F149" t="inlineStr">
        <is>
          <t>C4</t>
        </is>
      </c>
      <c r="H149" t="inlineStr">
        <is>
          <t>2021-2025</t>
        </is>
      </c>
      <c r="I149" t="inlineStr">
        <is>
          <t>España</t>
        </is>
      </c>
      <c r="J149" t="inlineStr">
        <is>
          <t>Resto UE</t>
        </is>
      </c>
      <c r="K149" t="inlineStr">
        <is>
          <t>ECV (INE, microdatos)</t>
        </is>
      </c>
      <c r="L149" t="inlineStr">
        <is>
          <t>Brecha en propietario frente a nacidos en España, ajustada por edad, sexo, educación y región</t>
        </is>
      </c>
    </row>
    <row r="150">
      <c r="A150" t="inlineStr">
        <is>
          <t>F3_VIV_propietario_BRECHA_COMPLETO_Resto_del_mundo</t>
        </is>
      </c>
      <c r="B150" s="2" t="n">
        <v>-45.3</v>
      </c>
      <c r="C150" s="2" t="n">
        <v>-46.6</v>
      </c>
      <c r="D150" s="2" t="n">
        <v>-43.9</v>
      </c>
      <c r="E150" t="inlineStr">
        <is>
          <t>pp</t>
        </is>
      </c>
      <c r="F150" t="inlineStr">
        <is>
          <t>C4</t>
        </is>
      </c>
      <c r="H150" t="inlineStr">
        <is>
          <t>2021-2025</t>
        </is>
      </c>
      <c r="I150" t="inlineStr">
        <is>
          <t>España</t>
        </is>
      </c>
      <c r="J150" t="inlineStr">
        <is>
          <t>Resto del mundo</t>
        </is>
      </c>
      <c r="K150" t="inlineStr">
        <is>
          <t>ECV (INE, microdatos)</t>
        </is>
      </c>
      <c r="L150" t="inlineStr">
        <is>
          <t>Brecha en propietario frente a nacidos en España, ajustada por edad, sexo, educación y región</t>
        </is>
      </c>
    </row>
    <row r="151">
      <c r="A151" t="inlineStr">
        <is>
          <t>F3_VIV_propietario_España_2021_2025</t>
        </is>
      </c>
      <c r="B151" s="2" t="n">
        <v>81.90000000000001</v>
      </c>
      <c r="C151" s="2" t="n"/>
      <c r="D151" s="2" t="n"/>
      <c r="E151" t="inlineStr">
        <is>
          <t>% de personas</t>
        </is>
      </c>
      <c r="F151" t="inlineStr">
        <is>
          <t>C1</t>
        </is>
      </c>
      <c r="H151" t="inlineStr">
        <is>
          <t>2021-2025</t>
        </is>
      </c>
      <c r="I151" t="inlineStr">
        <is>
          <t>España</t>
        </is>
      </c>
      <c r="J151" t="inlineStr">
        <is>
          <t>España</t>
        </is>
      </c>
      <c r="K151" t="inlineStr">
        <is>
          <t>ECV (INE, microdatos)</t>
        </is>
      </c>
      <c r="L151" t="inlineStr">
        <is>
          <t>propietario: personas nacidas en España (media 2021-2025)</t>
        </is>
      </c>
    </row>
    <row r="152">
      <c r="A152" t="inlineStr">
        <is>
          <t>F3_VIV_propietario_Resto_UE_2021_2025</t>
        </is>
      </c>
      <c r="B152" s="2" t="n">
        <v>52.6</v>
      </c>
      <c r="C152" s="2" t="n"/>
      <c r="D152" s="2" t="n"/>
      <c r="E152" t="inlineStr">
        <is>
          <t>% de personas</t>
        </is>
      </c>
      <c r="F152" t="inlineStr">
        <is>
          <t>C1</t>
        </is>
      </c>
      <c r="H152" t="inlineStr">
        <is>
          <t>2021-2025</t>
        </is>
      </c>
      <c r="I152" t="inlineStr">
        <is>
          <t>España</t>
        </is>
      </c>
      <c r="J152" t="inlineStr">
        <is>
          <t>Resto UE</t>
        </is>
      </c>
      <c r="K152" t="inlineStr">
        <is>
          <t>ECV (INE, microdatos)</t>
        </is>
      </c>
      <c r="L152" t="inlineStr">
        <is>
          <t>propietario: personas nacidas en Resto UE (media 2021-2025)</t>
        </is>
      </c>
    </row>
    <row r="153">
      <c r="A153" t="inlineStr">
        <is>
          <t>F3_VIV_propietario_Resto_del_mundo_2021_2025</t>
        </is>
      </c>
      <c r="B153" s="2" t="n">
        <v>32.9</v>
      </c>
      <c r="C153" s="2" t="n"/>
      <c r="D153" s="2" t="n"/>
      <c r="E153" t="inlineStr">
        <is>
          <t>% de personas</t>
        </is>
      </c>
      <c r="F153" t="inlineStr">
        <is>
          <t>C1</t>
        </is>
      </c>
      <c r="H153" t="inlineStr">
        <is>
          <t>2021-2025</t>
        </is>
      </c>
      <c r="I153" t="inlineStr">
        <is>
          <t>España</t>
        </is>
      </c>
      <c r="J153" t="inlineStr">
        <is>
          <t>Resto del mundo</t>
        </is>
      </c>
      <c r="K153" t="inlineStr">
        <is>
          <t>ECV (INE, microdatos)</t>
        </is>
      </c>
      <c r="L153" t="inlineStr">
        <is>
          <t>propietario: personas nacidas en Resto del mundo (media 2021-2025)</t>
        </is>
      </c>
    </row>
    <row r="154">
      <c r="A154" t="inlineStr">
        <is>
          <t>F3_VIV_sobrecarga_BRECHA_COMPLETO_Resto_UE</t>
        </is>
      </c>
      <c r="B154" s="2" t="n">
        <v>15.1</v>
      </c>
      <c r="C154" s="2" t="n">
        <v>13.4</v>
      </c>
      <c r="D154" s="2" t="n">
        <v>16.9</v>
      </c>
      <c r="E154" t="inlineStr">
        <is>
          <t>pp</t>
        </is>
      </c>
      <c r="F154" t="inlineStr">
        <is>
          <t>C4</t>
        </is>
      </c>
      <c r="H154" t="inlineStr">
        <is>
          <t>2021-2025</t>
        </is>
      </c>
      <c r="I154" t="inlineStr">
        <is>
          <t>España</t>
        </is>
      </c>
      <c r="J154" t="inlineStr">
        <is>
          <t>Resto UE</t>
        </is>
      </c>
      <c r="K154" t="inlineStr">
        <is>
          <t>ECV (INE, microdatos)</t>
        </is>
      </c>
      <c r="L154" t="inlineStr">
        <is>
          <t>Brecha en sobrecarga frente a nacidos en España, ajustada por edad, sexo, educación y región</t>
        </is>
      </c>
    </row>
    <row r="155">
      <c r="A155" t="inlineStr">
        <is>
          <t>F3_VIV_sobrecarga_BRECHA_COMPLETO_Resto_del_mundo</t>
        </is>
      </c>
      <c r="B155" s="2" t="n">
        <v>21</v>
      </c>
      <c r="C155" s="2" t="n">
        <v>19.6</v>
      </c>
      <c r="D155" s="2" t="n">
        <v>22.4</v>
      </c>
      <c r="E155" t="inlineStr">
        <is>
          <t>pp</t>
        </is>
      </c>
      <c r="F155" t="inlineStr">
        <is>
          <t>C4</t>
        </is>
      </c>
      <c r="H155" t="inlineStr">
        <is>
          <t>2021-2025</t>
        </is>
      </c>
      <c r="I155" t="inlineStr">
        <is>
          <t>España</t>
        </is>
      </c>
      <c r="J155" t="inlineStr">
        <is>
          <t>Resto del mundo</t>
        </is>
      </c>
      <c r="K155" t="inlineStr">
        <is>
          <t>ECV (INE, microdatos)</t>
        </is>
      </c>
      <c r="L155" t="inlineStr">
        <is>
          <t>Brecha en sobrecarga frente a nacidos en España, ajustada por edad, sexo, educación y región</t>
        </is>
      </c>
    </row>
    <row r="156">
      <c r="A156" t="inlineStr">
        <is>
          <t>F3_VIV_sobrecarga_España_2021_2025</t>
        </is>
      </c>
      <c r="B156" s="2" t="n">
        <v>4.9</v>
      </c>
      <c r="C156" s="2" t="n"/>
      <c r="D156" s="2" t="n"/>
      <c r="E156" t="inlineStr">
        <is>
          <t>% de personas</t>
        </is>
      </c>
      <c r="F156" t="inlineStr">
        <is>
          <t>C1</t>
        </is>
      </c>
      <c r="H156" t="inlineStr">
        <is>
          <t>2021-2025</t>
        </is>
      </c>
      <c r="I156" t="inlineStr">
        <is>
          <t>España</t>
        </is>
      </c>
      <c r="J156" t="inlineStr">
        <is>
          <t>España</t>
        </is>
      </c>
      <c r="K156" t="inlineStr">
        <is>
          <t>ECV (INE, microdatos)</t>
        </is>
      </c>
      <c r="L156" t="inlineStr">
        <is>
          <t>sobrecarga: personas nacidas en España (media 2021-2025)</t>
        </is>
      </c>
    </row>
    <row r="157">
      <c r="A157" t="inlineStr">
        <is>
          <t>F3_VIV_sobrecarga_Resto_UE_2021_2025</t>
        </is>
      </c>
      <c r="B157" s="2" t="n">
        <v>19.9</v>
      </c>
      <c r="C157" s="2" t="n"/>
      <c r="D157" s="2" t="n"/>
      <c r="E157" t="inlineStr">
        <is>
          <t>% de personas</t>
        </is>
      </c>
      <c r="F157" t="inlineStr">
        <is>
          <t>C1</t>
        </is>
      </c>
      <c r="H157" t="inlineStr">
        <is>
          <t>2021-2025</t>
        </is>
      </c>
      <c r="I157" t="inlineStr">
        <is>
          <t>España</t>
        </is>
      </c>
      <c r="J157" t="inlineStr">
        <is>
          <t>Resto UE</t>
        </is>
      </c>
      <c r="K157" t="inlineStr">
        <is>
          <t>ECV (INE, microdatos)</t>
        </is>
      </c>
      <c r="L157" t="inlineStr">
        <is>
          <t>sobrecarga: personas nacidas en Resto UE (media 2021-2025)</t>
        </is>
      </c>
    </row>
    <row r="158">
      <c r="A158" t="inlineStr">
        <is>
          <t>F3_VIV_sobrecarga_Resto_del_mundo_2021_2025</t>
        </is>
      </c>
      <c r="B158" s="2" t="n">
        <v>26.1</v>
      </c>
      <c r="C158" s="2" t="n"/>
      <c r="D158" s="2" t="n"/>
      <c r="E158" t="inlineStr">
        <is>
          <t>% de personas</t>
        </is>
      </c>
      <c r="F158" t="inlineStr">
        <is>
          <t>C1</t>
        </is>
      </c>
      <c r="H158" t="inlineStr">
        <is>
          <t>2021-2025</t>
        </is>
      </c>
      <c r="I158" t="inlineStr">
        <is>
          <t>España</t>
        </is>
      </c>
      <c r="J158" t="inlineStr">
        <is>
          <t>Resto del mundo</t>
        </is>
      </c>
      <c r="K158" t="inlineStr">
        <is>
          <t>ECV (INE, microdatos)</t>
        </is>
      </c>
      <c r="L158" t="inlineStr">
        <is>
          <t>sobrecarga: personas nacidas en Resto del mundo (media 2021-2025)</t>
        </is>
      </c>
    </row>
    <row r="159">
      <c r="A159" t="inlineStr">
        <is>
          <t>F4_NETA_PC_España_2024</t>
        </is>
      </c>
      <c r="B159" s="2" t="n">
        <v>-1367</v>
      </c>
      <c r="C159" s="2" t="n">
        <v>-1591</v>
      </c>
      <c r="D159" s="2" t="n">
        <v>-1114</v>
      </c>
      <c r="E159" t="inlineStr">
        <is>
          <t>€ por persona y año</t>
        </is>
      </c>
      <c r="F159" t="inlineStr">
        <is>
          <t>C2</t>
        </is>
      </c>
      <c r="H159" t="inlineStr">
        <is>
          <t>2024</t>
        </is>
      </c>
      <c r="I159" t="inlineStr">
        <is>
          <t>España</t>
        </is>
      </c>
      <c r="J159" t="inlineStr">
        <is>
          <t>España</t>
        </is>
      </c>
      <c r="K159" t="inlineStr">
        <is>
          <t>ECV, EPF, ENSE (INE) y cuentas de las AAPP (Eurostat)</t>
        </is>
      </c>
      <c r="L159" t="inlineStr">
        <is>
          <t>Contribución fiscal neta estática por persona, nacidos en España (escenario principal; IC por muestreo)</t>
        </is>
      </c>
    </row>
    <row r="160">
      <c r="A160" t="inlineStr">
        <is>
          <t>F4_NETA_PC_RANGO_SUPUESTOS_España_2024</t>
        </is>
      </c>
      <c r="B160" s="2" t="n">
        <v>-1367</v>
      </c>
      <c r="C160" s="2" t="n">
        <v>-1953</v>
      </c>
      <c r="D160" s="2" t="n">
        <v>-637</v>
      </c>
      <c r="E160" t="inlineStr">
        <is>
          <t>€ por persona y año</t>
        </is>
      </c>
      <c r="F160" t="inlineStr">
        <is>
          <t>C2</t>
        </is>
      </c>
      <c r="H160" t="inlineStr">
        <is>
          <t>2024</t>
        </is>
      </c>
      <c r="I160" t="inlineStr">
        <is>
          <t>España</t>
        </is>
      </c>
      <c r="J160" t="inlineStr">
        <is>
          <t>España</t>
        </is>
      </c>
      <c r="K160" t="inlineStr">
        <is>
          <t>ECV, EPF, ENSE y cuentas de las AAPP</t>
        </is>
      </c>
      <c r="L160" t="inlineStr">
        <is>
          <t>Contribución neta por persona, nacidos en España: intervalo entre las 64 combinaciones de supuestos</t>
        </is>
      </c>
    </row>
    <row r="161">
      <c r="A161" t="inlineStr">
        <is>
          <t>F4_NETA_PC_RANGO_SUPUESTOS_Resto_UE_2024</t>
        </is>
      </c>
      <c r="B161" s="2" t="n">
        <v>3460</v>
      </c>
      <c r="C161" s="2" t="n">
        <v>792</v>
      </c>
      <c r="D161" s="2" t="n">
        <v>5947</v>
      </c>
      <c r="E161" t="inlineStr">
        <is>
          <t>€ por persona y año</t>
        </is>
      </c>
      <c r="F161" t="inlineStr">
        <is>
          <t>C2</t>
        </is>
      </c>
      <c r="H161" t="inlineStr">
        <is>
          <t>2024</t>
        </is>
      </c>
      <c r="I161" t="inlineStr">
        <is>
          <t>España</t>
        </is>
      </c>
      <c r="J161" t="inlineStr">
        <is>
          <t>Resto UE</t>
        </is>
      </c>
      <c r="K161" t="inlineStr">
        <is>
          <t>ECV, EPF, ENSE y cuentas de las AAPP</t>
        </is>
      </c>
      <c r="L161" t="inlineStr">
        <is>
          <t>Contribución neta por persona, nacidos en Resto UE: intervalo entre las 64 combinaciones de supuestos</t>
        </is>
      </c>
    </row>
    <row r="162">
      <c r="A162" t="inlineStr">
        <is>
          <t>F4_NETA_PC_RANGO_SUPUESTOS_Resto_del_mundo_2024</t>
        </is>
      </c>
      <c r="B162" s="2" t="n">
        <v>-168</v>
      </c>
      <c r="C162" s="2" t="n">
        <v>-2089</v>
      </c>
      <c r="D162" s="2" t="n">
        <v>2822</v>
      </c>
      <c r="E162" t="inlineStr">
        <is>
          <t>€ por persona y año</t>
        </is>
      </c>
      <c r="F162" t="inlineStr">
        <is>
          <t>C2</t>
        </is>
      </c>
      <c r="H162" t="inlineStr">
        <is>
          <t>2024</t>
        </is>
      </c>
      <c r="I162" t="inlineStr">
        <is>
          <t>España</t>
        </is>
      </c>
      <c r="J162" t="inlineStr">
        <is>
          <t>Resto del mundo</t>
        </is>
      </c>
      <c r="K162" t="inlineStr">
        <is>
          <t>ECV, EPF, ENSE y cuentas de las AAPP</t>
        </is>
      </c>
      <c r="L162" t="inlineStr">
        <is>
          <t>Contribución neta por persona, nacidos en Resto del mundo: intervalo entre las 64 combinaciones de supuestos</t>
        </is>
      </c>
    </row>
    <row r="163">
      <c r="A163" t="inlineStr">
        <is>
          <t>F4_NETA_PC_Resto_UE_2024</t>
        </is>
      </c>
      <c r="B163" s="2" t="n">
        <v>3460</v>
      </c>
      <c r="C163" s="2" t="n">
        <v>2516</v>
      </c>
      <c r="D163" s="2" t="n">
        <v>4375</v>
      </c>
      <c r="E163" t="inlineStr">
        <is>
          <t>€ por persona y año</t>
        </is>
      </c>
      <c r="F163" t="inlineStr">
        <is>
          <t>C2</t>
        </is>
      </c>
      <c r="H163" t="inlineStr">
        <is>
          <t>2024</t>
        </is>
      </c>
      <c r="I163" t="inlineStr">
        <is>
          <t>España</t>
        </is>
      </c>
      <c r="J163" t="inlineStr">
        <is>
          <t>Resto UE</t>
        </is>
      </c>
      <c r="K163" t="inlineStr">
        <is>
          <t>ECV, EPF, ENSE (INE) y cuentas de las AAPP (Eurostat)</t>
        </is>
      </c>
      <c r="L163" t="inlineStr">
        <is>
          <t>Contribución fiscal neta estática por persona, nacidos en Resto UE (escenario principal; IC por muestreo)</t>
        </is>
      </c>
    </row>
    <row r="164">
      <c r="A164" t="inlineStr">
        <is>
          <t>F4_NETA_PC_Resto_del_mundo_2024</t>
        </is>
      </c>
      <c r="B164" s="2" t="n">
        <v>-168</v>
      </c>
      <c r="C164" s="2" t="n">
        <v>-537</v>
      </c>
      <c r="D164" s="2" t="n">
        <v>285</v>
      </c>
      <c r="E164" t="inlineStr">
        <is>
          <t>€ por persona y año</t>
        </is>
      </c>
      <c r="F164" t="inlineStr">
        <is>
          <t>C2</t>
        </is>
      </c>
      <c r="H164" t="inlineStr">
        <is>
          <t>2024</t>
        </is>
      </c>
      <c r="I164" t="inlineStr">
        <is>
          <t>España</t>
        </is>
      </c>
      <c r="J164" t="inlineStr">
        <is>
          <t>Resto del mundo</t>
        </is>
      </c>
      <c r="K164" t="inlineStr">
        <is>
          <t>ECV, EPF, ENSE (INE) y cuentas de las AAPP (Eurostat)</t>
        </is>
      </c>
      <c r="L164" t="inlineStr">
        <is>
          <t>Contribución fiscal neta estática por persona, nacidos en Resto del mundo (escenario principal; IC por muestreo)</t>
        </is>
      </c>
    </row>
    <row r="165">
      <c r="A165" t="inlineStr">
        <is>
          <t>F4_NETA_TOTAL_PIB_España_2024</t>
        </is>
      </c>
      <c r="B165" s="2" t="n">
        <v>-3.39</v>
      </c>
      <c r="C165" s="2" t="n">
        <v>-4.85</v>
      </c>
      <c r="D165" s="2" t="n">
        <v>-1.5</v>
      </c>
      <c r="E165" t="inlineStr">
        <is>
          <t>% del PIB</t>
        </is>
      </c>
      <c r="F165" t="inlineStr">
        <is>
          <t>C2</t>
        </is>
      </c>
      <c r="H165" t="inlineStr">
        <is>
          <t>2024</t>
        </is>
      </c>
      <c r="I165" t="inlineStr">
        <is>
          <t>España</t>
        </is>
      </c>
      <c r="J165" t="inlineStr">
        <is>
          <t>España</t>
        </is>
      </c>
      <c r="K165" t="inlineStr">
        <is>
          <t>ECV y cuentas de las AAPP</t>
        </is>
      </c>
      <c r="L165" t="inlineStr">
        <is>
          <t>Contribución neta total del grupo nacidos en España (escenario principal)</t>
        </is>
      </c>
    </row>
    <row r="166">
      <c r="A166" t="inlineStr">
        <is>
          <t>F4_NETA_TOTAL_PIB_Resto_UE_2024</t>
        </is>
      </c>
      <c r="B166" s="2" t="n">
        <v>0.37</v>
      </c>
      <c r="C166" s="2" t="n">
        <v>0.1</v>
      </c>
      <c r="D166" s="2" t="n">
        <v>0.64</v>
      </c>
      <c r="E166" t="inlineStr">
        <is>
          <t>% del PIB</t>
        </is>
      </c>
      <c r="F166" t="inlineStr">
        <is>
          <t>C2</t>
        </is>
      </c>
      <c r="H166" t="inlineStr">
        <is>
          <t>2024</t>
        </is>
      </c>
      <c r="I166" t="inlineStr">
        <is>
          <t>España</t>
        </is>
      </c>
      <c r="J166" t="inlineStr">
        <is>
          <t>Resto UE</t>
        </is>
      </c>
      <c r="K166" t="inlineStr">
        <is>
          <t>ECV y cuentas de las AAPP</t>
        </is>
      </c>
      <c r="L166" t="inlineStr">
        <is>
          <t>Contribución neta total del grupo nacidos en Resto UE (escenario principal)</t>
        </is>
      </c>
    </row>
    <row r="167">
      <c r="A167" t="inlineStr">
        <is>
          <t>F4_NETA_TOTAL_PIB_Resto_del_mundo_2024</t>
        </is>
      </c>
      <c r="B167" s="2" t="n">
        <v>-0.08</v>
      </c>
      <c r="C167" s="2" t="n">
        <v>-1.17</v>
      </c>
      <c r="D167" s="2" t="n">
        <v>1.29</v>
      </c>
      <c r="E167" t="inlineStr">
        <is>
          <t>% del PIB</t>
        </is>
      </c>
      <c r="F167" t="inlineStr">
        <is>
          <t>C2</t>
        </is>
      </c>
      <c r="H167" t="inlineStr">
        <is>
          <t>2024</t>
        </is>
      </c>
      <c r="I167" t="inlineStr">
        <is>
          <t>España</t>
        </is>
      </c>
      <c r="J167" t="inlineStr">
        <is>
          <t>Resto del mundo</t>
        </is>
      </c>
      <c r="K167" t="inlineStr">
        <is>
          <t>ECV y cuentas de las AAPP</t>
        </is>
      </c>
      <c r="L167" t="inlineStr">
        <is>
          <t>Contribución neta total del grupo nacidos en Resto del mundo (escenario principal)</t>
        </is>
      </c>
    </row>
    <row r="168">
      <c r="A168" t="inlineStr">
        <is>
          <t>F4_PEN_AR2024_BASE_2050</t>
        </is>
      </c>
      <c r="B168" s="2" t="n">
        <v>17.3</v>
      </c>
      <c r="C168" s="2" t="n"/>
      <c r="D168" s="2" t="n"/>
      <c r="E168" t="inlineStr">
        <is>
          <t>% del PIB</t>
        </is>
      </c>
      <c r="F168" t="inlineStr">
        <is>
          <t>C2</t>
        </is>
      </c>
      <c r="H168" t="inlineStr">
        <is>
          <t>2050</t>
        </is>
      </c>
      <c r="I168" t="inlineStr">
        <is>
          <t>España</t>
        </is>
      </c>
      <c r="J168" t="inlineStr">
        <is>
          <t>todos</t>
        </is>
      </c>
      <c r="K168" t="inlineStr">
        <is>
          <t>Comisión Europea, Ageing Report 2024</t>
        </is>
      </c>
      <c r="L168" t="inlineStr">
        <is>
          <t>Ageing Report 2024: gasto en pensiones de España en 2050, escenario base (cifra publicada, ficha de docs/literatura/fiscal.md)</t>
        </is>
      </c>
    </row>
    <row r="169">
      <c r="A169" t="inlineStr">
        <is>
          <t>F4_PEN_AR2024_MAS_MIGRACION_2050</t>
        </is>
      </c>
      <c r="B169" s="2" t="n">
        <v>16.1</v>
      </c>
      <c r="C169" s="2" t="n"/>
      <c r="D169" s="2" t="n"/>
      <c r="E169" t="inlineStr">
        <is>
          <t>% del PIB</t>
        </is>
      </c>
      <c r="F169" t="inlineStr">
        <is>
          <t>C2</t>
        </is>
      </c>
      <c r="H169" t="inlineStr">
        <is>
          <t>2050</t>
        </is>
      </c>
      <c r="I169" t="inlineStr">
        <is>
          <t>España</t>
        </is>
      </c>
      <c r="J169" t="inlineStr">
        <is>
          <t>todos</t>
        </is>
      </c>
      <c r="K169" t="inlineStr">
        <is>
          <t>Comisión Europea, Ageing Report 2024</t>
        </is>
      </c>
      <c r="L169" t="inlineStr">
        <is>
          <t>Ageing Report 2024: escenario con 33 % más de migración (publicado)</t>
        </is>
      </c>
    </row>
    <row r="170">
      <c r="A170" t="inlineStr">
        <is>
          <t>F4_PEN_AR2024_MENOS_MIGRACION_2050</t>
        </is>
      </c>
      <c r="B170" s="2" t="n">
        <v>18.7</v>
      </c>
      <c r="C170" s="2" t="n"/>
      <c r="D170" s="2" t="n"/>
      <c r="E170" t="inlineStr">
        <is>
          <t>% del PIB</t>
        </is>
      </c>
      <c r="F170" t="inlineStr">
        <is>
          <t>C2</t>
        </is>
      </c>
      <c r="H170" t="inlineStr">
        <is>
          <t>2050</t>
        </is>
      </c>
      <c r="I170" t="inlineStr">
        <is>
          <t>España</t>
        </is>
      </c>
      <c r="J170" t="inlineStr">
        <is>
          <t>todos</t>
        </is>
      </c>
      <c r="K170" t="inlineStr">
        <is>
          <t>Comisión Europea, Ageing Report 2024</t>
        </is>
      </c>
      <c r="L170" t="inlineStr">
        <is>
          <t>Ageing Report 2024: escenario con 33 % menos de migración (publicado)</t>
        </is>
      </c>
    </row>
    <row r="171">
      <c r="A171" t="inlineStr">
        <is>
          <t>F4_PEN_DEPENDENCIA_BSL_2050</t>
        </is>
      </c>
      <c r="B171" s="2" t="n">
        <v>63.7</v>
      </c>
      <c r="C171" s="2" t="n"/>
      <c r="D171" s="2" t="n"/>
      <c r="E171" t="inlineStr">
        <is>
          <t>65+ por cada 100 de 20-64</t>
        </is>
      </c>
      <c r="F171" t="inlineStr">
        <is>
          <t>C2</t>
        </is>
      </c>
      <c r="H171" t="inlineStr">
        <is>
          <t>2050</t>
        </is>
      </c>
      <c r="I171" t="inlineStr">
        <is>
          <t>España</t>
        </is>
      </c>
      <c r="J171" t="inlineStr">
        <is>
          <t>todos</t>
        </is>
      </c>
      <c r="K171" t="inlineStr">
        <is>
          <t>Eurostat proj_23np</t>
        </is>
      </c>
      <c r="L171" t="inlineStr">
        <is>
          <t>Tasa de dependencia de mayores en EUROPOP2023, variante BSL</t>
        </is>
      </c>
    </row>
    <row r="172">
      <c r="A172" t="inlineStr">
        <is>
          <t>F4_PEN_DEPENDENCIA_BSL_2070</t>
        </is>
      </c>
      <c r="B172" s="2" t="n">
        <v>64.3</v>
      </c>
      <c r="C172" s="2" t="n"/>
      <c r="D172" s="2" t="n"/>
      <c r="E172" t="inlineStr">
        <is>
          <t>65+ por cada 100 de 20-64</t>
        </is>
      </c>
      <c r="F172" t="inlineStr">
        <is>
          <t>C2</t>
        </is>
      </c>
      <c r="H172" t="inlineStr">
        <is>
          <t>2070</t>
        </is>
      </c>
      <c r="I172" t="inlineStr">
        <is>
          <t>España</t>
        </is>
      </c>
      <c r="J172" t="inlineStr">
        <is>
          <t>todos</t>
        </is>
      </c>
      <c r="K172" t="inlineStr">
        <is>
          <t>Eurostat proj_23np</t>
        </is>
      </c>
      <c r="L172" t="inlineStr">
        <is>
          <t>Tasa de dependencia de mayores en EUROPOP2023, variante BSL</t>
        </is>
      </c>
    </row>
    <row r="173">
      <c r="A173" t="inlineStr">
        <is>
          <t>F4_PEN_DEPENDENCIA_HMIGR_2050</t>
        </is>
      </c>
      <c r="B173" s="2" t="n">
        <v>59.5</v>
      </c>
      <c r="C173" s="2" t="n"/>
      <c r="D173" s="2" t="n"/>
      <c r="E173" t="inlineStr">
        <is>
          <t>65+ por cada 100 de 20-64</t>
        </is>
      </c>
      <c r="F173" t="inlineStr">
        <is>
          <t>C2</t>
        </is>
      </c>
      <c r="H173" t="inlineStr">
        <is>
          <t>2050</t>
        </is>
      </c>
      <c r="I173" t="inlineStr">
        <is>
          <t>España</t>
        </is>
      </c>
      <c r="J173" t="inlineStr">
        <is>
          <t>todos</t>
        </is>
      </c>
      <c r="K173" t="inlineStr">
        <is>
          <t>Eurostat proj_23np</t>
        </is>
      </c>
      <c r="L173" t="inlineStr">
        <is>
          <t>Tasa de dependencia de mayores en EUROPOP2023, variante HMIGR</t>
        </is>
      </c>
    </row>
    <row r="174">
      <c r="A174" t="inlineStr">
        <is>
          <t>F4_PEN_DEPENDENCIA_HMIGR_2070</t>
        </is>
      </c>
      <c r="B174" s="2" t="n">
        <v>60.4</v>
      </c>
      <c r="C174" s="2" t="n"/>
      <c r="D174" s="2" t="n"/>
      <c r="E174" t="inlineStr">
        <is>
          <t>65+ por cada 100 de 20-64</t>
        </is>
      </c>
      <c r="F174" t="inlineStr">
        <is>
          <t>C2</t>
        </is>
      </c>
      <c r="H174" t="inlineStr">
        <is>
          <t>2070</t>
        </is>
      </c>
      <c r="I174" t="inlineStr">
        <is>
          <t>España</t>
        </is>
      </c>
      <c r="J174" t="inlineStr">
        <is>
          <t>todos</t>
        </is>
      </c>
      <c r="K174" t="inlineStr">
        <is>
          <t>Eurostat proj_23np</t>
        </is>
      </c>
      <c r="L174" t="inlineStr">
        <is>
          <t>Tasa de dependencia de mayores en EUROPOP2023, variante HMIGR</t>
        </is>
      </c>
    </row>
    <row r="175">
      <c r="A175" t="inlineStr">
        <is>
          <t>F4_PEN_DEPENDENCIA_LMIGR_2050</t>
        </is>
      </c>
      <c r="B175" s="2" t="n">
        <v>68.7</v>
      </c>
      <c r="C175" s="2" t="n"/>
      <c r="D175" s="2" t="n"/>
      <c r="E175" t="inlineStr">
        <is>
          <t>65+ por cada 100 de 20-64</t>
        </is>
      </c>
      <c r="F175" t="inlineStr">
        <is>
          <t>C2</t>
        </is>
      </c>
      <c r="H175" t="inlineStr">
        <is>
          <t>2050</t>
        </is>
      </c>
      <c r="I175" t="inlineStr">
        <is>
          <t>España</t>
        </is>
      </c>
      <c r="J175" t="inlineStr">
        <is>
          <t>todos</t>
        </is>
      </c>
      <c r="K175" t="inlineStr">
        <is>
          <t>Eurostat proj_23np</t>
        </is>
      </c>
      <c r="L175" t="inlineStr">
        <is>
          <t>Tasa de dependencia de mayores en EUROPOP2023, variante LMIGR</t>
        </is>
      </c>
    </row>
    <row r="176">
      <c r="A176" t="inlineStr">
        <is>
          <t>F4_PEN_DEPENDENCIA_LMIGR_2070</t>
        </is>
      </c>
      <c r="B176" s="2" t="n">
        <v>69.40000000000001</v>
      </c>
      <c r="C176" s="2" t="n"/>
      <c r="D176" s="2" t="n"/>
      <c r="E176" t="inlineStr">
        <is>
          <t>65+ por cada 100 de 20-64</t>
        </is>
      </c>
      <c r="F176" t="inlineStr">
        <is>
          <t>C2</t>
        </is>
      </c>
      <c r="H176" t="inlineStr">
        <is>
          <t>2070</t>
        </is>
      </c>
      <c r="I176" t="inlineStr">
        <is>
          <t>España</t>
        </is>
      </c>
      <c r="J176" t="inlineStr">
        <is>
          <t>todos</t>
        </is>
      </c>
      <c r="K176" t="inlineStr">
        <is>
          <t>Eurostat proj_23np</t>
        </is>
      </c>
      <c r="L176" t="inlineStr">
        <is>
          <t>Tasa de dependencia de mayores en EUROPOP2023, variante LMIGR</t>
        </is>
      </c>
    </row>
    <row r="177">
      <c r="A177" t="inlineStr">
        <is>
          <t>F4_PEN_DEPENDENCIA_NMIGR_2050</t>
        </is>
      </c>
      <c r="B177" s="2" t="n">
        <v>76.7</v>
      </c>
      <c r="C177" s="2" t="n"/>
      <c r="D177" s="2" t="n"/>
      <c r="E177" t="inlineStr">
        <is>
          <t>65+ por cada 100 de 20-64</t>
        </is>
      </c>
      <c r="F177" t="inlineStr">
        <is>
          <t>C2</t>
        </is>
      </c>
      <c r="H177" t="inlineStr">
        <is>
          <t>2050</t>
        </is>
      </c>
      <c r="I177" t="inlineStr">
        <is>
          <t>España</t>
        </is>
      </c>
      <c r="J177" t="inlineStr">
        <is>
          <t>todos</t>
        </is>
      </c>
      <c r="K177" t="inlineStr">
        <is>
          <t>Eurostat proj_23np</t>
        </is>
      </c>
      <c r="L177" t="inlineStr">
        <is>
          <t>Tasa de dependencia de mayores en EUROPOP2023, variante NMIGR</t>
        </is>
      </c>
    </row>
    <row r="178">
      <c r="A178" t="inlineStr">
        <is>
          <t>F4_PEN_DEPENDENCIA_NMIGR_2070</t>
        </is>
      </c>
      <c r="B178" s="2" t="n">
        <v>84.59999999999999</v>
      </c>
      <c r="C178" s="2" t="n"/>
      <c r="D178" s="2" t="n"/>
      <c r="E178" t="inlineStr">
        <is>
          <t>65+ por cada 100 de 20-64</t>
        </is>
      </c>
      <c r="F178" t="inlineStr">
        <is>
          <t>C2</t>
        </is>
      </c>
      <c r="H178" t="inlineStr">
        <is>
          <t>2070</t>
        </is>
      </c>
      <c r="I178" t="inlineStr">
        <is>
          <t>España</t>
        </is>
      </c>
      <c r="J178" t="inlineStr">
        <is>
          <t>todos</t>
        </is>
      </c>
      <c r="K178" t="inlineStr">
        <is>
          <t>Eurostat proj_23np</t>
        </is>
      </c>
      <c r="L178" t="inlineStr">
        <is>
          <t>Tasa de dependencia de mayores en EUROPOP2023, variante NMIGR</t>
        </is>
      </c>
    </row>
    <row r="179">
      <c r="A179" t="inlineStr">
        <is>
          <t>F4_PEN_EFECTO_SIN_MIGRACION_2050</t>
        </is>
      </c>
      <c r="B179" s="2" t="n">
        <v>4.4</v>
      </c>
      <c r="C179" s="2" t="n"/>
      <c r="D179" s="2" t="n"/>
      <c r="E179" t="inlineStr">
        <is>
          <t>pp del PIB</t>
        </is>
      </c>
      <c r="F179" t="inlineStr">
        <is>
          <t>C2</t>
        </is>
      </c>
      <c r="H179" t="inlineStr">
        <is>
          <t>2050</t>
        </is>
      </c>
      <c r="I179" t="inlineStr">
        <is>
          <t>España</t>
        </is>
      </c>
      <c r="J179" t="inlineStr">
        <is>
          <t>todos</t>
        </is>
      </c>
      <c r="K179" t="inlineStr">
        <is>
          <t>Eurostat proj_23np</t>
        </is>
      </c>
      <c r="L179" t="inlineStr">
        <is>
          <t>Diferencia de gasto en pensiones / PIB entre la variante sin migración y la base en 2050 (regla mecánica)</t>
        </is>
      </c>
    </row>
    <row r="180">
      <c r="A180" t="inlineStr">
        <is>
          <t>F4_PEN_GASTO_MECANICO_BSL_2050</t>
        </is>
      </c>
      <c r="B180" s="2" t="n">
        <v>21.7</v>
      </c>
      <c r="C180" s="2" t="n"/>
      <c r="D180" s="2" t="n"/>
      <c r="E180" t="inlineStr">
        <is>
          <t>% del PIB</t>
        </is>
      </c>
      <c r="F180" t="inlineStr">
        <is>
          <t>C2</t>
        </is>
      </c>
      <c r="H180" t="inlineStr">
        <is>
          <t>2050</t>
        </is>
      </c>
      <c r="I180" t="inlineStr">
        <is>
          <t>España</t>
        </is>
      </c>
      <c r="J180" t="inlineStr">
        <is>
          <t>todos</t>
        </is>
      </c>
      <c r="K180" t="inlineStr">
        <is>
          <t>Eurostat proj_23np y gov_10a_exp</t>
        </is>
      </c>
      <c r="L180" t="inlineStr">
        <is>
          <t>Gasto en pensiones / PIB con la regla mecánica demográfica (variante BSL; empleo, cobertura y pensión relativa constantes)</t>
        </is>
      </c>
    </row>
    <row r="181">
      <c r="A181" t="inlineStr">
        <is>
          <t>F4_PEN_GASTO_MECANICO_BSL_2070</t>
        </is>
      </c>
      <c r="B181" s="2" t="n">
        <v>21.9</v>
      </c>
      <c r="C181" s="2" t="n"/>
      <c r="D181" s="2" t="n"/>
      <c r="E181" t="inlineStr">
        <is>
          <t>% del PIB</t>
        </is>
      </c>
      <c r="F181" t="inlineStr">
        <is>
          <t>C2</t>
        </is>
      </c>
      <c r="H181" t="inlineStr">
        <is>
          <t>2070</t>
        </is>
      </c>
      <c r="I181" t="inlineStr">
        <is>
          <t>España</t>
        </is>
      </c>
      <c r="J181" t="inlineStr">
        <is>
          <t>todos</t>
        </is>
      </c>
      <c r="K181" t="inlineStr">
        <is>
          <t>Eurostat proj_23np y gov_10a_exp</t>
        </is>
      </c>
      <c r="L181" t="inlineStr">
        <is>
          <t>Gasto en pensiones / PIB con la regla mecánica demográfica (variante BSL; empleo, cobertura y pensión relativa constantes)</t>
        </is>
      </c>
    </row>
    <row r="182">
      <c r="A182" t="inlineStr">
        <is>
          <t>F4_PEN_GASTO_MECANICO_HMIGR_2050</t>
        </is>
      </c>
      <c r="B182" s="2" t="n">
        <v>20.3</v>
      </c>
      <c r="C182" s="2" t="n"/>
      <c r="D182" s="2" t="n"/>
      <c r="E182" t="inlineStr">
        <is>
          <t>% del PIB</t>
        </is>
      </c>
      <c r="F182" t="inlineStr">
        <is>
          <t>C2</t>
        </is>
      </c>
      <c r="H182" t="inlineStr">
        <is>
          <t>2050</t>
        </is>
      </c>
      <c r="I182" t="inlineStr">
        <is>
          <t>España</t>
        </is>
      </c>
      <c r="J182" t="inlineStr">
        <is>
          <t>todos</t>
        </is>
      </c>
      <c r="K182" t="inlineStr">
        <is>
          <t>Eurostat proj_23np y gov_10a_exp</t>
        </is>
      </c>
      <c r="L182" t="inlineStr">
        <is>
          <t>Gasto en pensiones / PIB con la regla mecánica demográfica (variante HMIGR; empleo, cobertura y pensión relativa constantes)</t>
        </is>
      </c>
    </row>
    <row r="183">
      <c r="A183" t="inlineStr">
        <is>
          <t>F4_PEN_GASTO_MECANICO_HMIGR_2070</t>
        </is>
      </c>
      <c r="B183" s="2" t="n">
        <v>20.6</v>
      </c>
      <c r="C183" s="2" t="n"/>
      <c r="D183" s="2" t="n"/>
      <c r="E183" t="inlineStr">
        <is>
          <t>% del PIB</t>
        </is>
      </c>
      <c r="F183" t="inlineStr">
        <is>
          <t>C2</t>
        </is>
      </c>
      <c r="H183" t="inlineStr">
        <is>
          <t>2070</t>
        </is>
      </c>
      <c r="I183" t="inlineStr">
        <is>
          <t>España</t>
        </is>
      </c>
      <c r="J183" t="inlineStr">
        <is>
          <t>todos</t>
        </is>
      </c>
      <c r="K183" t="inlineStr">
        <is>
          <t>Eurostat proj_23np y gov_10a_exp</t>
        </is>
      </c>
      <c r="L183" t="inlineStr">
        <is>
          <t>Gasto en pensiones / PIB con la regla mecánica demográfica (variante HMIGR; empleo, cobertura y pensión relativa constantes)</t>
        </is>
      </c>
    </row>
    <row r="184">
      <c r="A184" t="inlineStr">
        <is>
          <t>F4_PEN_GASTO_MECANICO_LMIGR_2050</t>
        </is>
      </c>
      <c r="B184" s="2" t="n">
        <v>23.4</v>
      </c>
      <c r="C184" s="2" t="n"/>
      <c r="D184" s="2" t="n"/>
      <c r="E184" t="inlineStr">
        <is>
          <t>% del PIB</t>
        </is>
      </c>
      <c r="F184" t="inlineStr">
        <is>
          <t>C2</t>
        </is>
      </c>
      <c r="H184" t="inlineStr">
        <is>
          <t>2050</t>
        </is>
      </c>
      <c r="I184" t="inlineStr">
        <is>
          <t>España</t>
        </is>
      </c>
      <c r="J184" t="inlineStr">
        <is>
          <t>todos</t>
        </is>
      </c>
      <c r="K184" t="inlineStr">
        <is>
          <t>Eurostat proj_23np y gov_10a_exp</t>
        </is>
      </c>
      <c r="L184" t="inlineStr">
        <is>
          <t>Gasto en pensiones / PIB con la regla mecánica demográfica (variante LMIGR; empleo, cobertura y pensión relativa constantes)</t>
        </is>
      </c>
    </row>
    <row r="185">
      <c r="A185" t="inlineStr">
        <is>
          <t>F4_PEN_GASTO_MECANICO_LMIGR_2070</t>
        </is>
      </c>
      <c r="B185" s="2" t="n">
        <v>23.6</v>
      </c>
      <c r="C185" s="2" t="n"/>
      <c r="D185" s="2" t="n"/>
      <c r="E185" t="inlineStr">
        <is>
          <t>% del PIB</t>
        </is>
      </c>
      <c r="F185" t="inlineStr">
        <is>
          <t>C2</t>
        </is>
      </c>
      <c r="H185" t="inlineStr">
        <is>
          <t>2070</t>
        </is>
      </c>
      <c r="I185" t="inlineStr">
        <is>
          <t>España</t>
        </is>
      </c>
      <c r="J185" t="inlineStr">
        <is>
          <t>todos</t>
        </is>
      </c>
      <c r="K185" t="inlineStr">
        <is>
          <t>Eurostat proj_23np y gov_10a_exp</t>
        </is>
      </c>
      <c r="L185" t="inlineStr">
        <is>
          <t>Gasto en pensiones / PIB con la regla mecánica demográfica (variante LMIGR; empleo, cobertura y pensión relativa constantes)</t>
        </is>
      </c>
    </row>
    <row r="186">
      <c r="A186" t="inlineStr">
        <is>
          <t>F4_PEN_GASTO_MECANICO_NMIGR_2050</t>
        </is>
      </c>
      <c r="B186" s="2" t="n">
        <v>26.1</v>
      </c>
      <c r="C186" s="2" t="n"/>
      <c r="D186" s="2" t="n"/>
      <c r="E186" t="inlineStr">
        <is>
          <t>% del PIB</t>
        </is>
      </c>
      <c r="F186" t="inlineStr">
        <is>
          <t>C2</t>
        </is>
      </c>
      <c r="H186" t="inlineStr">
        <is>
          <t>2050</t>
        </is>
      </c>
      <c r="I186" t="inlineStr">
        <is>
          <t>España</t>
        </is>
      </c>
      <c r="J186" t="inlineStr">
        <is>
          <t>todos</t>
        </is>
      </c>
      <c r="K186" t="inlineStr">
        <is>
          <t>Eurostat proj_23np y gov_10a_exp</t>
        </is>
      </c>
      <c r="L186" t="inlineStr">
        <is>
          <t>Gasto en pensiones / PIB con la regla mecánica demográfica (variante NMIGR; empleo, cobertura y pensión relativa constantes)</t>
        </is>
      </c>
    </row>
    <row r="187">
      <c r="A187" t="inlineStr">
        <is>
          <t>F4_PEN_GASTO_MECANICO_NMIGR_2070</t>
        </is>
      </c>
      <c r="B187" s="2" t="n">
        <v>28.8</v>
      </c>
      <c r="C187" s="2" t="n"/>
      <c r="D187" s="2" t="n"/>
      <c r="E187" t="inlineStr">
        <is>
          <t>% del PIB</t>
        </is>
      </c>
      <c r="F187" t="inlineStr">
        <is>
          <t>C2</t>
        </is>
      </c>
      <c r="H187" t="inlineStr">
        <is>
          <t>2070</t>
        </is>
      </c>
      <c r="I187" t="inlineStr">
        <is>
          <t>España</t>
        </is>
      </c>
      <c r="J187" t="inlineStr">
        <is>
          <t>todos</t>
        </is>
      </c>
      <c r="K187" t="inlineStr">
        <is>
          <t>Eurostat proj_23np y gov_10a_exp</t>
        </is>
      </c>
      <c r="L187" t="inlineStr">
        <is>
          <t>Gasto en pensiones / PIB con la regla mecánica demográfica (variante NMIGR; empleo, cobertura y pensión relativa constantes)</t>
        </is>
      </c>
    </row>
    <row r="188">
      <c r="A188" t="inlineStr">
        <is>
          <t>F4_PEN_GASTO_PIB_2024</t>
        </is>
      </c>
      <c r="B188" s="2" t="n">
        <v>11.9</v>
      </c>
      <c r="C188" s="2" t="n"/>
      <c r="D188" s="2" t="n"/>
      <c r="E188" t="inlineStr">
        <is>
          <t>% del PIB</t>
        </is>
      </c>
      <c r="F188" t="inlineStr">
        <is>
          <t>C1</t>
        </is>
      </c>
      <c r="H188" t="inlineStr">
        <is>
          <t>2024</t>
        </is>
      </c>
      <c r="I188" t="inlineStr">
        <is>
          <t>España</t>
        </is>
      </c>
      <c r="J188" t="inlineStr">
        <is>
          <t>todos</t>
        </is>
      </c>
      <c r="K188" t="inlineStr">
        <is>
          <t>Eurostat gov_10a_exp</t>
        </is>
      </c>
      <c r="L188" t="inlineStr">
        <is>
          <t>Gasto en pensiones de vejez y supervivencia (prestaciones monetarias COFOG) en 2024</t>
        </is>
      </c>
    </row>
    <row r="189">
      <c r="A189" t="inlineStr">
        <is>
          <t>F4_RETORNO_OBSERVADO</t>
        </is>
      </c>
      <c r="B189" s="2" t="n">
        <v>6.79</v>
      </c>
      <c r="C189" s="2" t="n"/>
      <c r="D189" s="2" t="n"/>
      <c r="E189" t="inlineStr">
        <is>
          <t>% anual</t>
        </is>
      </c>
      <c r="F189" t="inlineStr">
        <is>
          <t>C1</t>
        </is>
      </c>
      <c r="H189" t="inlineStr">
        <is>
          <t>2021-2024</t>
        </is>
      </c>
      <c r="I189" t="inlineStr">
        <is>
          <t>España</t>
        </is>
      </c>
      <c r="J189" t="inlineStr">
        <is>
          <t>nacidos fuera</t>
        </is>
      </c>
      <c r="K189" t="inlineStr">
        <is>
          <t>Estadística de Migraciones y padrón (INE)</t>
        </is>
      </c>
      <c r="L189" t="inlineStr">
        <is>
          <t>Emigraciones anuales de nacidos fuera / población nacida fuera</t>
        </is>
      </c>
    </row>
    <row r="190">
      <c r="A190" t="inlineStr">
        <is>
          <t>F4_VA_65MAS_Resto_UE_LLEGADA_20</t>
        </is>
      </c>
      <c r="B190" s="2" t="n">
        <v>-3</v>
      </c>
      <c r="C190" s="2" t="n"/>
      <c r="D190" s="2" t="n"/>
      <c r="E190" t="inlineStr">
        <is>
          <t>miles de € (VA)</t>
        </is>
      </c>
      <c r="F190" t="inlineStr">
        <is>
          <t>C2</t>
        </is>
      </c>
      <c r="H190" t="inlineStr">
        <is>
          <t>2024</t>
        </is>
      </c>
      <c r="I190" t="inlineStr">
        <is>
          <t>España</t>
        </is>
      </c>
      <c r="J190" t="inlineStr">
        <is>
          <t>Resto UE</t>
        </is>
      </c>
      <c r="K190" t="inlineStr">
        <is>
          <t>Perfiles M1</t>
        </is>
      </c>
      <c r="L190" t="inlineStr">
        <is>
          <t>Parte del valor actual de 65 y más años (pensiones y sanidad futuras), llegada a los 20</t>
        </is>
      </c>
    </row>
    <row r="191">
      <c r="A191" t="inlineStr">
        <is>
          <t>F4_VA_65MAS_Resto_UE_LLEGADA_30</t>
        </is>
      </c>
      <c r="B191" s="2" t="n">
        <v>-6</v>
      </c>
      <c r="C191" s="2" t="n"/>
      <c r="D191" s="2" t="n"/>
      <c r="E191" t="inlineStr">
        <is>
          <t>miles de € (VA)</t>
        </is>
      </c>
      <c r="F191" t="inlineStr">
        <is>
          <t>C2</t>
        </is>
      </c>
      <c r="H191" t="inlineStr">
        <is>
          <t>2024</t>
        </is>
      </c>
      <c r="I191" t="inlineStr">
        <is>
          <t>España</t>
        </is>
      </c>
      <c r="J191" t="inlineStr">
        <is>
          <t>Resto UE</t>
        </is>
      </c>
      <c r="K191" t="inlineStr">
        <is>
          <t>Perfiles M1</t>
        </is>
      </c>
      <c r="L191" t="inlineStr">
        <is>
          <t>Parte del valor actual de 65 y más años (pensiones y sanidad futuras), llegada a los 30</t>
        </is>
      </c>
    </row>
    <row r="192">
      <c r="A192" t="inlineStr">
        <is>
          <t>F4_VA_65MAS_Resto_UE_LLEGADA_40</t>
        </is>
      </c>
      <c r="B192" s="2" t="n">
        <v>-10</v>
      </c>
      <c r="C192" s="2" t="n"/>
      <c r="D192" s="2" t="n"/>
      <c r="E192" t="inlineStr">
        <is>
          <t>miles de € (VA)</t>
        </is>
      </c>
      <c r="F192" t="inlineStr">
        <is>
          <t>C2</t>
        </is>
      </c>
      <c r="H192" t="inlineStr">
        <is>
          <t>2024</t>
        </is>
      </c>
      <c r="I192" t="inlineStr">
        <is>
          <t>España</t>
        </is>
      </c>
      <c r="J192" t="inlineStr">
        <is>
          <t>Resto UE</t>
        </is>
      </c>
      <c r="K192" t="inlineStr">
        <is>
          <t>Perfiles M1</t>
        </is>
      </c>
      <c r="L192" t="inlineStr">
        <is>
          <t>Parte del valor actual de 65 y más años (pensiones y sanidad futuras), llegada a los 40</t>
        </is>
      </c>
    </row>
    <row r="193">
      <c r="A193" t="inlineStr">
        <is>
          <t>F4_VA_65MAS_Resto_del_mundo_LLEGADA_20</t>
        </is>
      </c>
      <c r="B193" s="2" t="n">
        <v>-3</v>
      </c>
      <c r="C193" s="2" t="n"/>
      <c r="D193" s="2" t="n"/>
      <c r="E193" t="inlineStr">
        <is>
          <t>miles de € (VA)</t>
        </is>
      </c>
      <c r="F193" t="inlineStr">
        <is>
          <t>C2</t>
        </is>
      </c>
      <c r="H193" t="inlineStr">
        <is>
          <t>2024</t>
        </is>
      </c>
      <c r="I193" t="inlineStr">
        <is>
          <t>España</t>
        </is>
      </c>
      <c r="J193" t="inlineStr">
        <is>
          <t>Resto del mundo</t>
        </is>
      </c>
      <c r="K193" t="inlineStr">
        <is>
          <t>Perfiles M1</t>
        </is>
      </c>
      <c r="L193" t="inlineStr">
        <is>
          <t>Parte del valor actual de 65 y más años (pensiones y sanidad futuras), llegada a los 20</t>
        </is>
      </c>
    </row>
    <row r="194">
      <c r="A194" t="inlineStr">
        <is>
          <t>F4_VA_65MAS_Resto_del_mundo_LLEGADA_30</t>
        </is>
      </c>
      <c r="B194" s="2" t="n">
        <v>-6</v>
      </c>
      <c r="C194" s="2" t="n"/>
      <c r="D194" s="2" t="n"/>
      <c r="E194" t="inlineStr">
        <is>
          <t>miles de € (VA)</t>
        </is>
      </c>
      <c r="F194" t="inlineStr">
        <is>
          <t>C2</t>
        </is>
      </c>
      <c r="H194" t="inlineStr">
        <is>
          <t>2024</t>
        </is>
      </c>
      <c r="I194" t="inlineStr">
        <is>
          <t>España</t>
        </is>
      </c>
      <c r="J194" t="inlineStr">
        <is>
          <t>Resto del mundo</t>
        </is>
      </c>
      <c r="K194" t="inlineStr">
        <is>
          <t>Perfiles M1</t>
        </is>
      </c>
      <c r="L194" t="inlineStr">
        <is>
          <t>Parte del valor actual de 65 y más años (pensiones y sanidad futuras), llegada a los 30</t>
        </is>
      </c>
    </row>
    <row r="195">
      <c r="A195" t="inlineStr">
        <is>
          <t>F4_VA_65MAS_Resto_del_mundo_LLEGADA_40</t>
        </is>
      </c>
      <c r="B195" s="2" t="n">
        <v>-10</v>
      </c>
      <c r="C195" s="2" t="n"/>
      <c r="D195" s="2" t="n"/>
      <c r="E195" t="inlineStr">
        <is>
          <t>miles de € (VA)</t>
        </is>
      </c>
      <c r="F195" t="inlineStr">
        <is>
          <t>C2</t>
        </is>
      </c>
      <c r="H195" t="inlineStr">
        <is>
          <t>2024</t>
        </is>
      </c>
      <c r="I195" t="inlineStr">
        <is>
          <t>España</t>
        </is>
      </c>
      <c r="J195" t="inlineStr">
        <is>
          <t>Resto del mundo</t>
        </is>
      </c>
      <c r="K195" t="inlineStr">
        <is>
          <t>Perfiles M1</t>
        </is>
      </c>
      <c r="L195" t="inlineStr">
        <is>
          <t>Parte del valor actual de 65 y más años (pensiones y sanidad futuras), llegada a los 40</t>
        </is>
      </c>
    </row>
    <row r="196">
      <c r="A196" t="inlineStr">
        <is>
          <t>F4_VA_España_EDAD_0</t>
        </is>
      </c>
      <c r="B196" s="2" t="n">
        <v>-163</v>
      </c>
      <c r="C196" s="2" t="n"/>
      <c r="D196" s="2" t="n"/>
      <c r="E196" t="inlineStr">
        <is>
          <t>miles de € (VA)</t>
        </is>
      </c>
      <c r="F196" t="inlineStr">
        <is>
          <t>C2</t>
        </is>
      </c>
      <c r="H196" t="inlineStr">
        <is>
          <t>2024</t>
        </is>
      </c>
      <c r="I196" t="inlineStr">
        <is>
          <t>España</t>
        </is>
      </c>
      <c r="J196" t="inlineStr">
        <is>
          <t>España</t>
        </is>
      </c>
      <c r="K196" t="inlineStr">
        <is>
          <t>Perfiles M1</t>
        </is>
      </c>
      <c r="L196" t="inlineStr">
        <is>
          <t>Valor actual de la contribución neta de la vida restante de una persona nacida en España de 0 años (comparador)</t>
        </is>
      </c>
    </row>
    <row r="197">
      <c r="A197" t="inlineStr">
        <is>
          <t>F4_VA_España_EDAD_20</t>
        </is>
      </c>
      <c r="B197" s="2" t="n">
        <v>30</v>
      </c>
      <c r="C197" s="2" t="n"/>
      <c r="D197" s="2" t="n"/>
      <c r="E197" t="inlineStr">
        <is>
          <t>miles de € (VA)</t>
        </is>
      </c>
      <c r="F197" t="inlineStr">
        <is>
          <t>C2</t>
        </is>
      </c>
      <c r="H197" t="inlineStr">
        <is>
          <t>2024</t>
        </is>
      </c>
      <c r="I197" t="inlineStr">
        <is>
          <t>España</t>
        </is>
      </c>
      <c r="J197" t="inlineStr">
        <is>
          <t>España</t>
        </is>
      </c>
      <c r="K197" t="inlineStr">
        <is>
          <t>Perfiles M1</t>
        </is>
      </c>
      <c r="L197" t="inlineStr">
        <is>
          <t>Valor actual de la contribución neta de la vida restante de una persona nacida en España de 20 años (comparador)</t>
        </is>
      </c>
    </row>
    <row r="198">
      <c r="A198" t="inlineStr">
        <is>
          <t>F4_VA_España_EDAD_30</t>
        </is>
      </c>
      <c r="B198" s="2" t="n">
        <v>38</v>
      </c>
      <c r="C198" s="2" t="n"/>
      <c r="D198" s="2" t="n"/>
      <c r="E198" t="inlineStr">
        <is>
          <t>miles de € (VA)</t>
        </is>
      </c>
      <c r="F198" t="inlineStr">
        <is>
          <t>C2</t>
        </is>
      </c>
      <c r="H198" t="inlineStr">
        <is>
          <t>2024</t>
        </is>
      </c>
      <c r="I198" t="inlineStr">
        <is>
          <t>España</t>
        </is>
      </c>
      <c r="J198" t="inlineStr">
        <is>
          <t>España</t>
        </is>
      </c>
      <c r="K198" t="inlineStr">
        <is>
          <t>Perfiles M1</t>
        </is>
      </c>
      <c r="L198" t="inlineStr">
        <is>
          <t>Valor actual de la contribución neta de la vida restante de una persona nacida en España de 30 años (comparador)</t>
        </is>
      </c>
    </row>
    <row r="199">
      <c r="A199" t="inlineStr">
        <is>
          <t>F4_VA_España_EDAD_40</t>
        </is>
      </c>
      <c r="B199" s="2" t="n">
        <v>-41</v>
      </c>
      <c r="C199" s="2" t="n"/>
      <c r="D199" s="2" t="n"/>
      <c r="E199" t="inlineStr">
        <is>
          <t>miles de € (VA)</t>
        </is>
      </c>
      <c r="F199" t="inlineStr">
        <is>
          <t>C2</t>
        </is>
      </c>
      <c r="H199" t="inlineStr">
        <is>
          <t>2024</t>
        </is>
      </c>
      <c r="I199" t="inlineStr">
        <is>
          <t>España</t>
        </is>
      </c>
      <c r="J199" t="inlineStr">
        <is>
          <t>España</t>
        </is>
      </c>
      <c r="K199" t="inlineStr">
        <is>
          <t>Perfiles M1</t>
        </is>
      </c>
      <c r="L199" t="inlineStr">
        <is>
          <t>Valor actual de la contribución neta de la vida restante de una persona nacida en España de 40 años (comparador)</t>
        </is>
      </c>
    </row>
    <row r="200">
      <c r="A200" t="inlineStr">
        <is>
          <t>F4_VA_HASTA64_Resto_UE_LLEGADA_20</t>
        </is>
      </c>
      <c r="B200" s="2" t="n">
        <v>52</v>
      </c>
      <c r="C200" s="2" t="n"/>
      <c r="D200" s="2" t="n"/>
      <c r="E200" t="inlineStr">
        <is>
          <t>miles de € (VA)</t>
        </is>
      </c>
      <c r="F200" t="inlineStr">
        <is>
          <t>C2</t>
        </is>
      </c>
      <c r="H200" t="inlineStr">
        <is>
          <t>2024</t>
        </is>
      </c>
      <c r="I200" t="inlineStr">
        <is>
          <t>España</t>
        </is>
      </c>
      <c r="J200" t="inlineStr">
        <is>
          <t>Resto UE</t>
        </is>
      </c>
      <c r="K200" t="inlineStr">
        <is>
          <t>Perfiles M1</t>
        </is>
      </c>
      <c r="L200" t="inlineStr">
        <is>
          <t>Parte del valor actual hasta los 64 años («población joven hoy»), llegada a los 20</t>
        </is>
      </c>
    </row>
    <row r="201">
      <c r="A201" t="inlineStr">
        <is>
          <t>F4_VA_HASTA64_Resto_UE_LLEGADA_30</t>
        </is>
      </c>
      <c r="B201" s="2" t="n">
        <v>60</v>
      </c>
      <c r="C201" s="2" t="n"/>
      <c r="D201" s="2" t="n"/>
      <c r="E201" t="inlineStr">
        <is>
          <t>miles de € (VA)</t>
        </is>
      </c>
      <c r="F201" t="inlineStr">
        <is>
          <t>C2</t>
        </is>
      </c>
      <c r="H201" t="inlineStr">
        <is>
          <t>2024</t>
        </is>
      </c>
      <c r="I201" t="inlineStr">
        <is>
          <t>España</t>
        </is>
      </c>
      <c r="J201" t="inlineStr">
        <is>
          <t>Resto UE</t>
        </is>
      </c>
      <c r="K201" t="inlineStr">
        <is>
          <t>Perfiles M1</t>
        </is>
      </c>
      <c r="L201" t="inlineStr">
        <is>
          <t>Parte del valor actual hasta los 64 años («población joven hoy»), llegada a los 30</t>
        </is>
      </c>
    </row>
    <row r="202">
      <c r="A202" t="inlineStr">
        <is>
          <t>F4_VA_HASTA64_Resto_UE_LLEGADA_40</t>
        </is>
      </c>
      <c r="B202" s="2" t="n">
        <v>61</v>
      </c>
      <c r="C202" s="2" t="n"/>
      <c r="D202" s="2" t="n"/>
      <c r="E202" t="inlineStr">
        <is>
          <t>miles de € (VA)</t>
        </is>
      </c>
      <c r="F202" t="inlineStr">
        <is>
          <t>C2</t>
        </is>
      </c>
      <c r="H202" t="inlineStr">
        <is>
          <t>2024</t>
        </is>
      </c>
      <c r="I202" t="inlineStr">
        <is>
          <t>España</t>
        </is>
      </c>
      <c r="J202" t="inlineStr">
        <is>
          <t>Resto UE</t>
        </is>
      </c>
      <c r="K202" t="inlineStr">
        <is>
          <t>Perfiles M1</t>
        </is>
      </c>
      <c r="L202" t="inlineStr">
        <is>
          <t>Parte del valor actual hasta los 64 años («población joven hoy»), llegada a los 40</t>
        </is>
      </c>
    </row>
    <row r="203">
      <c r="A203" t="inlineStr">
        <is>
          <t>F4_VA_HASTA64_Resto_del_mundo_LLEGADA_20</t>
        </is>
      </c>
      <c r="B203" s="2" t="n">
        <v>0</v>
      </c>
      <c r="C203" s="2" t="n"/>
      <c r="D203" s="2" t="n"/>
      <c r="E203" t="inlineStr">
        <is>
          <t>miles de € (VA)</t>
        </is>
      </c>
      <c r="F203" t="inlineStr">
        <is>
          <t>C2</t>
        </is>
      </c>
      <c r="H203" t="inlineStr">
        <is>
          <t>2024</t>
        </is>
      </c>
      <c r="I203" t="inlineStr">
        <is>
          <t>España</t>
        </is>
      </c>
      <c r="J203" t="inlineStr">
        <is>
          <t>Resto del mundo</t>
        </is>
      </c>
      <c r="K203" t="inlineStr">
        <is>
          <t>Perfiles M1</t>
        </is>
      </c>
      <c r="L203" t="inlineStr">
        <is>
          <t>Parte del valor actual hasta los 64 años («población joven hoy»), llegada a los 20</t>
        </is>
      </c>
    </row>
    <row r="204">
      <c r="A204" t="inlineStr">
        <is>
          <t>F4_VA_HASTA64_Resto_del_mundo_LLEGADA_30</t>
        </is>
      </c>
      <c r="B204" s="2" t="n">
        <v>34</v>
      </c>
      <c r="C204" s="2" t="n"/>
      <c r="D204" s="2" t="n"/>
      <c r="E204" t="inlineStr">
        <is>
          <t>miles de € (VA)</t>
        </is>
      </c>
      <c r="F204" t="inlineStr">
        <is>
          <t>C2</t>
        </is>
      </c>
      <c r="H204" t="inlineStr">
        <is>
          <t>2024</t>
        </is>
      </c>
      <c r="I204" t="inlineStr">
        <is>
          <t>España</t>
        </is>
      </c>
      <c r="J204" t="inlineStr">
        <is>
          <t>Resto del mundo</t>
        </is>
      </c>
      <c r="K204" t="inlineStr">
        <is>
          <t>Perfiles M1</t>
        </is>
      </c>
      <c r="L204" t="inlineStr">
        <is>
          <t>Parte del valor actual hasta los 64 años («población joven hoy»), llegada a los 30</t>
        </is>
      </c>
    </row>
    <row r="205">
      <c r="A205" t="inlineStr">
        <is>
          <t>F4_VA_HASTA64_Resto_del_mundo_LLEGADA_40</t>
        </is>
      </c>
      <c r="B205" s="2" t="n">
        <v>28</v>
      </c>
      <c r="C205" s="2" t="n"/>
      <c r="D205" s="2" t="n"/>
      <c r="E205" t="inlineStr">
        <is>
          <t>miles de € (VA)</t>
        </is>
      </c>
      <c r="F205" t="inlineStr">
        <is>
          <t>C2</t>
        </is>
      </c>
      <c r="H205" t="inlineStr">
        <is>
          <t>2024</t>
        </is>
      </c>
      <c r="I205" t="inlineStr">
        <is>
          <t>España</t>
        </is>
      </c>
      <c r="J205" t="inlineStr">
        <is>
          <t>Resto del mundo</t>
        </is>
      </c>
      <c r="K205" t="inlineStr">
        <is>
          <t>Perfiles M1</t>
        </is>
      </c>
      <c r="L205" t="inlineStr">
        <is>
          <t>Parte del valor actual hasta los 64 años («población joven hoy»), llegada a los 40</t>
        </is>
      </c>
    </row>
    <row r="206">
      <c r="A206" t="inlineStr">
        <is>
          <t>F4_VA_Resto_UE_LLEGADA_20</t>
        </is>
      </c>
      <c r="B206" s="2" t="n">
        <v>49</v>
      </c>
      <c r="C206" s="2" t="n">
        <v>-78</v>
      </c>
      <c r="D206" s="2" t="n">
        <v>136</v>
      </c>
      <c r="E206" t="inlineStr">
        <is>
          <t>miles de € (VA en 2024)</t>
        </is>
      </c>
      <c r="F206" t="inlineStr">
        <is>
          <t>C2</t>
        </is>
      </c>
      <c r="H206" t="inlineStr">
        <is>
          <t>2024</t>
        </is>
      </c>
      <c r="I206" t="inlineStr">
        <is>
          <t>España</t>
        </is>
      </c>
      <c r="J206" t="inlineStr">
        <is>
          <t>Resto UE</t>
        </is>
      </c>
      <c r="K206" t="inlineStr">
        <is>
          <t>Perfiles M1 (ECV, EPF, ENSE, cuentas AAPP) y Eurostat</t>
        </is>
      </c>
      <c r="L206" t="inlineStr">
        <is>
          <t>Valor actual de la contribución neta de por vida de una persona nacida en Resto UE que llega a los 20 años (principal: descuento 3 %, convergencia 50 %, retorno observado 6.8 %, bienes públicos a coste medio; intervalo: todas las combinaciones)</t>
        </is>
      </c>
    </row>
    <row r="207">
      <c r="A207" t="inlineStr">
        <is>
          <t>F4_VA_Resto_UE_LLEGADA_30</t>
        </is>
      </c>
      <c r="B207" s="2" t="n">
        <v>54</v>
      </c>
      <c r="C207" s="2" t="n">
        <v>-77</v>
      </c>
      <c r="D207" s="2" t="n">
        <v>118</v>
      </c>
      <c r="E207" t="inlineStr">
        <is>
          <t>miles de € (VA en 2024)</t>
        </is>
      </c>
      <c r="F207" t="inlineStr">
        <is>
          <t>C2</t>
        </is>
      </c>
      <c r="H207" t="inlineStr">
        <is>
          <t>2024</t>
        </is>
      </c>
      <c r="I207" t="inlineStr">
        <is>
          <t>España</t>
        </is>
      </c>
      <c r="J207" t="inlineStr">
        <is>
          <t>Resto UE</t>
        </is>
      </c>
      <c r="K207" t="inlineStr">
        <is>
          <t>Perfiles M1 (ECV, EPF, ENSE, cuentas AAPP) y Eurostat</t>
        </is>
      </c>
      <c r="L207" t="inlineStr">
        <is>
          <t>Valor actual de la contribución neta de por vida de una persona nacida en Resto UE que llega a los 30 años (principal: descuento 3 %, convergencia 50 %, retorno observado 6.8 %, bienes públicos a coste medio; intervalo: todas las combinaciones)</t>
        </is>
      </c>
    </row>
    <row r="208">
      <c r="A208" t="inlineStr">
        <is>
          <t>F4_VA_Resto_UE_LLEGADA_40</t>
        </is>
      </c>
      <c r="B208" s="2" t="n">
        <v>51</v>
      </c>
      <c r="C208" s="2" t="n">
        <v>-80</v>
      </c>
      <c r="D208" s="2" t="n">
        <v>87</v>
      </c>
      <c r="E208" t="inlineStr">
        <is>
          <t>miles de € (VA en 2024)</t>
        </is>
      </c>
      <c r="F208" t="inlineStr">
        <is>
          <t>C2</t>
        </is>
      </c>
      <c r="H208" t="inlineStr">
        <is>
          <t>2024</t>
        </is>
      </c>
      <c r="I208" t="inlineStr">
        <is>
          <t>España</t>
        </is>
      </c>
      <c r="J208" t="inlineStr">
        <is>
          <t>Resto UE</t>
        </is>
      </c>
      <c r="K208" t="inlineStr">
        <is>
          <t>Perfiles M1 (ECV, EPF, ENSE, cuentas AAPP) y Eurostat</t>
        </is>
      </c>
      <c r="L208" t="inlineStr">
        <is>
          <t>Valor actual de la contribución neta de por vida de una persona nacida en Resto UE que llega a los 40 años (principal: descuento 3 %, convergencia 50 %, retorno observado 6.8 %, bienes públicos a coste medio; intervalo: todas las combinaciones)</t>
        </is>
      </c>
    </row>
    <row r="209">
      <c r="A209" t="inlineStr">
        <is>
          <t>F4_VA_Resto_del_mundo_LLEGADA_20</t>
        </is>
      </c>
      <c r="B209" s="2" t="n">
        <v>-2</v>
      </c>
      <c r="C209" s="2" t="n">
        <v>-198</v>
      </c>
      <c r="D209" s="2" t="n">
        <v>97</v>
      </c>
      <c r="E209" t="inlineStr">
        <is>
          <t>miles de € (VA en 2024)</t>
        </is>
      </c>
      <c r="F209" t="inlineStr">
        <is>
          <t>C2</t>
        </is>
      </c>
      <c r="H209" t="inlineStr">
        <is>
          <t>2024</t>
        </is>
      </c>
      <c r="I209" t="inlineStr">
        <is>
          <t>España</t>
        </is>
      </c>
      <c r="J209" t="inlineStr">
        <is>
          <t>Resto del mundo</t>
        </is>
      </c>
      <c r="K209" t="inlineStr">
        <is>
          <t>Perfiles M1 (ECV, EPF, ENSE, cuentas AAPP) y Eurostat</t>
        </is>
      </c>
      <c r="L209" t="inlineStr">
        <is>
          <t>Valor actual de la contribución neta de por vida de una persona nacida en Resto del mundo que llega a los 20 años (principal: descuento 3 %, convergencia 50 %, retorno observado 6.8 %, bienes públicos a coste medio; intervalo: todas las combinaciones)</t>
        </is>
      </c>
    </row>
    <row r="210">
      <c r="A210" t="inlineStr">
        <is>
          <t>F4_VA_Resto_del_mundo_LLEGADA_30</t>
        </is>
      </c>
      <c r="B210" s="2" t="n">
        <v>28</v>
      </c>
      <c r="C210" s="2" t="n">
        <v>-174</v>
      </c>
      <c r="D210" s="2" t="n">
        <v>98</v>
      </c>
      <c r="E210" t="inlineStr">
        <is>
          <t>miles de € (VA en 2024)</t>
        </is>
      </c>
      <c r="F210" t="inlineStr">
        <is>
          <t>C2</t>
        </is>
      </c>
      <c r="H210" t="inlineStr">
        <is>
          <t>2024</t>
        </is>
      </c>
      <c r="I210" t="inlineStr">
        <is>
          <t>España</t>
        </is>
      </c>
      <c r="J210" t="inlineStr">
        <is>
          <t>Resto del mundo</t>
        </is>
      </c>
      <c r="K210" t="inlineStr">
        <is>
          <t>Perfiles M1 (ECV, EPF, ENSE, cuentas AAPP) y Eurostat</t>
        </is>
      </c>
      <c r="L210" t="inlineStr">
        <is>
          <t>Valor actual de la contribución neta de por vida de una persona nacida en Resto del mundo que llega a los 30 años (principal: descuento 3 %, convergencia 50 %, retorno observado 6.8 %, bienes públicos a coste medio; intervalo: todas las combinaciones)</t>
        </is>
      </c>
    </row>
    <row r="211">
      <c r="A211" t="inlineStr">
        <is>
          <t>F4_VA_Resto_del_mundo_LLEGADA_40</t>
        </is>
      </c>
      <c r="B211" s="2" t="n">
        <v>18</v>
      </c>
      <c r="C211" s="2" t="n">
        <v>-173</v>
      </c>
      <c r="D211" s="2" t="n">
        <v>62</v>
      </c>
      <c r="E211" t="inlineStr">
        <is>
          <t>miles de € (VA en 2024)</t>
        </is>
      </c>
      <c r="F211" t="inlineStr">
        <is>
          <t>C2</t>
        </is>
      </c>
      <c r="H211" t="inlineStr">
        <is>
          <t>2024</t>
        </is>
      </c>
      <c r="I211" t="inlineStr">
        <is>
          <t>España</t>
        </is>
      </c>
      <c r="J211" t="inlineStr">
        <is>
          <t>Resto del mundo</t>
        </is>
      </c>
      <c r="K211" t="inlineStr">
        <is>
          <t>Perfiles M1 (ECV, EPF, ENSE, cuentas AAPP) y Eurostat</t>
        </is>
      </c>
      <c r="L211" t="inlineStr">
        <is>
          <t>Valor actual de la contribución neta de por vida de una persona nacida en Resto del mundo que llega a los 40 años (principal: descuento 3 %, convergencia 50 %, retorno observado 6.8 %, bienes públicos a coste medio; intervalo: todas las combinaciones)</t>
        </is>
      </c>
    </row>
    <row r="212">
      <c r="A212" t="inlineStr">
        <is>
          <t>F6_PREST_MONETARIAS_PC_España</t>
        </is>
      </c>
      <c r="B212" s="2" t="n">
        <v>6252</v>
      </c>
      <c r="C212" s="2" t="n"/>
      <c r="D212" s="2" t="n"/>
      <c r="E212" t="inlineStr">
        <is>
          <t>€ por persona y año</t>
        </is>
      </c>
      <c r="F212" t="inlineStr">
        <is>
          <t>C2</t>
        </is>
      </c>
      <c r="H212" t="inlineStr">
        <is>
          <t>2024</t>
        </is>
      </c>
      <c r="I212" t="inlineStr">
        <is>
          <t>España</t>
        </is>
      </c>
      <c r="J212" t="inlineStr">
        <is>
          <t>España</t>
        </is>
      </c>
      <c r="K212" t="inlineStr">
        <is>
          <t>ECV (INE) y Eurostat COFOG</t>
        </is>
      </c>
      <c r="L212" t="inlineStr">
        <is>
          <t>Prestaciones monetarias por persona (calibradas a COFOG), nacidos en España</t>
        </is>
      </c>
    </row>
    <row r="213">
      <c r="A213" t="inlineStr">
        <is>
          <t>F6_PREST_MONETARIAS_PC_Resto_UE</t>
        </is>
      </c>
      <c r="B213" s="2" t="n">
        <v>2813</v>
      </c>
      <c r="C213" s="2" t="n"/>
      <c r="D213" s="2" t="n"/>
      <c r="E213" t="inlineStr">
        <is>
          <t>€ por persona y año</t>
        </is>
      </c>
      <c r="F213" t="inlineStr">
        <is>
          <t>C2</t>
        </is>
      </c>
      <c r="H213" t="inlineStr">
        <is>
          <t>2024</t>
        </is>
      </c>
      <c r="I213" t="inlineStr">
        <is>
          <t>España</t>
        </is>
      </c>
      <c r="J213" t="inlineStr">
        <is>
          <t>Resto UE</t>
        </is>
      </c>
      <c r="K213" t="inlineStr">
        <is>
          <t>ECV (INE) y Eurostat COFOG</t>
        </is>
      </c>
      <c r="L213" t="inlineStr">
        <is>
          <t>Prestaciones monetarias por persona (calibradas a COFOG), nacidos en Resto UE</t>
        </is>
      </c>
    </row>
    <row r="214">
      <c r="A214" t="inlineStr">
        <is>
          <t>F6_PREST_MONETARIAS_PC_Resto_del_mundo</t>
        </is>
      </c>
      <c r="B214" s="2" t="n">
        <v>1927</v>
      </c>
      <c r="C214" s="2" t="n"/>
      <c r="D214" s="2" t="n"/>
      <c r="E214" t="inlineStr">
        <is>
          <t>€ por persona y año</t>
        </is>
      </c>
      <c r="F214" t="inlineStr">
        <is>
          <t>C2</t>
        </is>
      </c>
      <c r="H214" t="inlineStr">
        <is>
          <t>2024</t>
        </is>
      </c>
      <c r="I214" t="inlineStr">
        <is>
          <t>España</t>
        </is>
      </c>
      <c r="J214" t="inlineStr">
        <is>
          <t>Resto del mundo</t>
        </is>
      </c>
      <c r="K214" t="inlineStr">
        <is>
          <t>ECV (INE) y Eurostat COFOG</t>
        </is>
      </c>
      <c r="L214" t="inlineStr">
        <is>
          <t>Prestaciones monetarias por persona (calibradas a COFOG), nacidos en Resto del mundo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2026-10-19T15:31:04Z</dcterms:created>
  <dcterms:modified xmlns:dcterms="http://purl.org/dc/terms/" xmlns:xsi="http://www.w3.org/2001/XMLSchema-instance" xsi:type="dcterms:W3CDTF">2026-10-19T15:31:04Z</dcterms:modified>
</cp:coreProperties>
</file>